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0" yWindow="48" windowWidth="22980" windowHeight="9552" activeTab="2"/>
  </bookViews>
  <sheets>
    <sheet name="Лист1" sheetId="1" r:id="rId1"/>
    <sheet name="Лист2" sheetId="2" r:id="rId2"/>
    <sheet name="Лист3" sheetId="3" r:id="rId3"/>
  </sheets>
  <calcPr calcId="144525"/>
</workbook>
</file>

<file path=xl/calcChain.xml><?xml version="1.0" encoding="utf-8"?>
<calcChain xmlns="http://schemas.openxmlformats.org/spreadsheetml/2006/main">
  <c r="F13" i="2" l="1"/>
  <c r="AJ16" i="3" l="1"/>
  <c r="AJ15" i="3"/>
  <c r="AI16" i="3" l="1"/>
  <c r="AE16" i="3"/>
  <c r="AC16" i="3"/>
  <c r="AA16" i="3"/>
  <c r="W16" i="3"/>
  <c r="U16" i="3"/>
  <c r="S16" i="3"/>
  <c r="O16" i="3"/>
  <c r="M16" i="3"/>
  <c r="K16" i="3"/>
  <c r="C4" i="3"/>
  <c r="AH16" i="3" s="1"/>
  <c r="G15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G16" i="2"/>
  <c r="AJ13" i="2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H15" i="1"/>
  <c r="AJ13" i="1"/>
  <c r="AI15" i="1" s="1"/>
  <c r="N15" i="1"/>
  <c r="O15" i="1"/>
  <c r="P15" i="1"/>
  <c r="Q15" i="1"/>
  <c r="V15" i="1"/>
  <c r="W15" i="1"/>
  <c r="X15" i="1"/>
  <c r="Z15" i="1"/>
  <c r="AD15" i="1"/>
  <c r="AE15" i="1"/>
  <c r="AF15" i="1"/>
  <c r="AG15" i="1"/>
  <c r="K15" i="1"/>
  <c r="L15" i="1"/>
  <c r="M15" i="1"/>
  <c r="R15" i="1"/>
  <c r="S15" i="1"/>
  <c r="T15" i="1"/>
  <c r="U15" i="1"/>
  <c r="AA15" i="1"/>
  <c r="AB15" i="1"/>
  <c r="AC15" i="1"/>
  <c r="C5" i="1"/>
  <c r="F13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  <c r="L16" i="3" l="1"/>
  <c r="T16" i="3"/>
  <c r="AB16" i="3"/>
  <c r="N16" i="3"/>
  <c r="V16" i="3"/>
  <c r="AD16" i="3"/>
  <c r="H16" i="3"/>
  <c r="P16" i="3"/>
  <c r="X16" i="3"/>
  <c r="AF16" i="3"/>
  <c r="C5" i="3"/>
  <c r="I16" i="3"/>
  <c r="Q16" i="3"/>
  <c r="Y16" i="3"/>
  <c r="AG16" i="3"/>
  <c r="G12" i="3"/>
  <c r="H12" i="3" s="1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J16" i="3"/>
  <c r="R16" i="3"/>
  <c r="Z16" i="3"/>
  <c r="C5" i="2"/>
  <c r="I15" i="1"/>
  <c r="G15" i="1"/>
  <c r="AH15" i="1"/>
  <c r="J15" i="1"/>
  <c r="Y15" i="1"/>
  <c r="X15" i="3" l="1"/>
  <c r="AE15" i="3"/>
  <c r="W15" i="3"/>
  <c r="O15" i="3"/>
  <c r="L15" i="3"/>
  <c r="J15" i="3"/>
  <c r="AD15" i="3"/>
  <c r="V15" i="3"/>
  <c r="N15" i="3"/>
  <c r="AB15" i="3"/>
  <c r="R15" i="3"/>
  <c r="AC15" i="3"/>
  <c r="U15" i="3"/>
  <c r="M15" i="3"/>
  <c r="T15" i="3"/>
  <c r="Z15" i="3"/>
  <c r="AI15" i="3"/>
  <c r="AA15" i="3"/>
  <c r="S15" i="3"/>
  <c r="K15" i="3"/>
  <c r="AH15" i="3"/>
  <c r="AG15" i="3"/>
  <c r="Y15" i="3"/>
  <c r="Q15" i="3"/>
  <c r="I15" i="3"/>
  <c r="AF15" i="3"/>
  <c r="P15" i="3"/>
  <c r="H15" i="3"/>
  <c r="AI15" i="2"/>
  <c r="AA15" i="2"/>
  <c r="S15" i="2"/>
  <c r="K15" i="2"/>
  <c r="AH15" i="2"/>
  <c r="Z15" i="2"/>
  <c r="R15" i="2"/>
  <c r="J15" i="2"/>
  <c r="AG15" i="2"/>
  <c r="Y15" i="2"/>
  <c r="Q15" i="2"/>
  <c r="I15" i="2"/>
  <c r="AF15" i="2"/>
  <c r="X15" i="2"/>
  <c r="P15" i="2"/>
  <c r="H15" i="2"/>
  <c r="AE15" i="2"/>
  <c r="W15" i="2"/>
  <c r="O15" i="2"/>
  <c r="AD15" i="2"/>
  <c r="V15" i="2"/>
  <c r="N15" i="2"/>
  <c r="AC15" i="2"/>
  <c r="U15" i="2"/>
  <c r="M15" i="2"/>
  <c r="T15" i="2"/>
  <c r="L15" i="2"/>
  <c r="AB15" i="2"/>
  <c r="G16" i="3"/>
  <c r="F15" i="3"/>
  <c r="G15" i="3"/>
  <c r="F16" i="3"/>
</calcChain>
</file>

<file path=xl/sharedStrings.xml><?xml version="1.0" encoding="utf-8"?>
<sst xmlns="http://schemas.openxmlformats.org/spreadsheetml/2006/main" count="41" uniqueCount="16">
  <si>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</si>
  <si>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</si>
  <si>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</si>
  <si>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</si>
  <si>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</si>
  <si>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</si>
  <si>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</si>
  <si>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</si>
  <si>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</si>
  <si>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</si>
  <si>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</si>
  <si>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q_start</t>
  </si>
  <si>
    <t>q</t>
  </si>
  <si>
    <t>T_c1</t>
  </si>
  <si>
    <t>T_c2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</si>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</sst>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165" fontId="0" fillId="0" borderId="0" xfId="0" applyNumberFormat="1"/>
    <xf numFmtId="0" fontId="0" fillId="0" borderId="1" xfId="0" applyBorder="1"/>
    <xf numFmtId="164" fontId="0" fillId="0" borderId="1" xfId="0" applyNumberFormat="1" applyBorder="1"/>
    <xf numFmtId="165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Лист1!$F$11:$AJ$11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xVal>
          <c:y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Лист1!$F$11:$AJ$11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308288"/>
        <c:axId val="125314176"/>
      </c:scatterChart>
      <c:valAx>
        <c:axId val="125308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5314176"/>
        <c:crosses val="autoZero"/>
        <c:crossBetween val="midCat"/>
      </c:valAx>
      <c:valAx>
        <c:axId val="125314176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253082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Лист2!$F$12:$AJ$12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Лист2!$F$13:$AJ$13</c:f>
              <c:numCache>
                <c:formatCode>General</c:formatCode>
                <c:ptCount val="31"/>
                <c:pt idx="0">
                  <c:v>299.99999686285491</c:v>
                </c:pt>
                <c:pt idx="1">
                  <c:v>293.33333019618823</c:v>
                </c:pt>
                <c:pt idx="2">
                  <c:v>286.66666353841413</c:v>
                </c:pt>
                <c:pt idx="3">
                  <c:v>279.99999688950743</c:v>
                </c:pt>
                <c:pt idx="4">
                  <c:v>273.33333024941771</c:v>
                </c:pt>
                <c:pt idx="5">
                  <c:v>266.66666361806972</c:v>
                </c:pt>
                <c:pt idx="6">
                  <c:v>259.99999699536329</c:v>
                </c:pt>
                <c:pt idx="7">
                  <c:v>253.33333038117391</c:v>
                </c:pt>
                <c:pt idx="8">
                  <c:v>246.66666377535262</c:v>
                </c:pt>
                <c:pt idx="9">
                  <c:v>239.99999717772718</c:v>
                </c:pt>
                <c:pt idx="10">
                  <c:v>233.33333058810166</c:v>
                </c:pt>
                <c:pt idx="11">
                  <c:v>226.66666400625792</c:v>
                </c:pt>
                <c:pt idx="12">
                  <c:v>219.99999743195531</c:v>
                </c:pt>
                <c:pt idx="13">
                  <c:v>213.33333086493218</c:v>
                </c:pt>
                <c:pt idx="14">
                  <c:v>206.66666430490591</c:v>
                </c:pt>
                <c:pt idx="15">
                  <c:v>199.9999977515744</c:v>
                </c:pt>
                <c:pt idx="16">
                  <c:v>193.3333312046162</c:v>
                </c:pt>
                <c:pt idx="17">
                  <c:v>186.66666466369219</c:v>
                </c:pt>
                <c:pt idx="18">
                  <c:v>179.99999812844572</c:v>
                </c:pt>
                <c:pt idx="19">
                  <c:v>173.33333159850449</c:v>
                </c:pt>
                <c:pt idx="20">
                  <c:v>166.66666507348069</c:v>
                </c:pt>
                <c:pt idx="21">
                  <c:v>159.9999985529731</c:v>
                </c:pt>
                <c:pt idx="22">
                  <c:v>153.3333320365671</c:v>
                </c:pt>
                <c:pt idx="23">
                  <c:v>146.66666552383708</c:v>
                </c:pt>
                <c:pt idx="24">
                  <c:v>139.9999990143464</c:v>
                </c:pt>
                <c:pt idx="25">
                  <c:v>133.3333325076498</c:v>
                </c:pt>
                <c:pt idx="26">
                  <c:v>126.66666600329356</c:v>
                </c:pt>
                <c:pt idx="27">
                  <c:v>119.99999950081784</c:v>
                </c:pt>
                <c:pt idx="28">
                  <c:v>113.333332999757</c:v>
                </c:pt>
                <c:pt idx="29">
                  <c:v>106.66666649964179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880960"/>
        <c:axId val="125882752"/>
      </c:scatterChart>
      <c:valAx>
        <c:axId val="125880960"/>
        <c:scaling>
          <c:orientation val="minMax"/>
        </c:scaling>
        <c:delete val="0"/>
        <c:axPos val="b"/>
        <c:numFmt formatCode="0.0000" sourceLinked="1"/>
        <c:majorTickMark val="out"/>
        <c:minorTickMark val="none"/>
        <c:tickLblPos val="nextTo"/>
        <c:crossAx val="125882752"/>
        <c:crosses val="autoZero"/>
        <c:crossBetween val="midCat"/>
      </c:valAx>
      <c:valAx>
        <c:axId val="12588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58809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228600</xdr:colOff>
      <xdr:row>17</xdr:row>
      <xdr:rowOff>57150</xdr:rowOff>
    </xdr:from>
    <xdr:to>
      <xdr:col>25</xdr:col>
      <xdr:colOff>381000</xdr:colOff>
      <xdr:row>32</xdr:row>
      <xdr:rowOff>57150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15</xdr:col>
      <xdr:colOff>243840</xdr:colOff>
      <xdr:row>15</xdr:row>
      <xdr:rowOff>163830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7749540" y="290703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/>
                      </a:rPr>
                      <m:t>𝑻</m:t>
                    </m:r>
                    <m:r>
                      <a:rPr lang="en-US" sz="1100" b="1" i="1">
                        <a:latin typeface="Cambria Math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1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100" b="1" i="1">
                            <a:latin typeface="Cambria Math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7749540" y="290703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en-US" sz="1100" b="1" i="0">
                  <a:latin typeface="Cambria Math"/>
                </a:rPr>
                <a:t>𝑻,[𝑪]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24</xdr:col>
      <xdr:colOff>38100</xdr:colOff>
      <xdr:row>30</xdr:row>
      <xdr:rowOff>57150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11521440" y="554355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/>
                      </a:rPr>
                      <m:t>𝑳</m:t>
                    </m:r>
                    <m:r>
                      <a:rPr lang="en-US" sz="1100" b="1" i="1">
                        <a:latin typeface="Cambria Math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100" b="1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100" b="1" i="1">
                            <a:latin typeface="Cambria Math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11521440" y="554355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en-US" sz="1100" b="1" i="0">
                  <a:latin typeface="Cambria Math"/>
                </a:rPr>
                <a:t>𝑳,[𝒎]</a:t>
              </a:r>
              <a:endParaRPr lang="ru-RU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556260</xdr:colOff>
      <xdr:row>18</xdr:row>
      <xdr:rowOff>64770</xdr:rowOff>
    </xdr:from>
    <xdr:to>
      <xdr:col>24</xdr:col>
      <xdr:colOff>251460</xdr:colOff>
      <xdr:row>33</xdr:row>
      <xdr:rowOff>64770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16</xdr:col>
      <xdr:colOff>548640</xdr:colOff>
      <xdr:row>16</xdr:row>
      <xdr:rowOff>156210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10340340" y="308229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𝑻</m:t>
                    </m:r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10340340" y="308229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𝑻,[𝑪]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23</xdr:col>
      <xdr:colOff>60960</xdr:colOff>
      <xdr:row>30</xdr:row>
      <xdr:rowOff>148590</xdr:rowOff>
    </xdr:from>
    <xdr:ext cx="868680" cy="4367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4119860" y="5634990"/>
              <a:ext cx="868680" cy="436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𝑳</m:t>
                    </m:r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ru-RU">
                <a:effectLst/>
              </a:endParaRPr>
            </a:p>
            <a:p>
              <a:endParaRPr lang="ru-RU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4119860" y="5634990"/>
              <a:ext cx="868680" cy="436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𝑳,[𝒎]</a:t>
              </a:r>
              <a:endParaRPr lang="ru-RU">
                <a:effectLst/>
              </a:endParaRPr>
            </a:p>
            <a:p>
              <a:endParaRPr lang="ru-RU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5"/>
  <sheetViews>
    <sheetView topLeftCell="A7" workbookViewId="0">
      <selection activeCell="I22" sqref="I22"/>
    </sheetView>
  </sheetViews>
  <sheetFormatPr defaultRowHeight="14.4" x14ac:dyDescent="0.3"/>
  <cols>
    <col min="3" max="3" width="9.44140625" bestFit="1" customWidth="1"/>
    <col min="6" max="36" width="6.44140625" bestFit="1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4">
        <f>C3/30</f>
        <v>3.3333333333333335E-3</v>
      </c>
    </row>
    <row r="5" spans="2:36" x14ac:dyDescent="0.3">
      <c r="B5" s="2" t="s">
        <v>2</v>
      </c>
      <c r="C5" s="4">
        <f>(C9*C8*C4^2)/(2*C10)</f>
        <v>0.4333333333333334</v>
      </c>
    </row>
    <row r="6" spans="2:36" x14ac:dyDescent="0.3">
      <c r="B6" s="2" t="s">
        <v>3</v>
      </c>
      <c r="C6" s="2">
        <v>500</v>
      </c>
      <c r="D6">
        <v>500.06666666666672</v>
      </c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9</v>
      </c>
      <c r="C13" s="2">
        <v>100</v>
      </c>
      <c r="E13" t="s">
        <v>7</v>
      </c>
      <c r="F13">
        <f>C12</f>
        <v>300</v>
      </c>
      <c r="G13">
        <v>293.32310708172031</v>
      </c>
      <c r="H13">
        <v>286.64621416344067</v>
      </c>
      <c r="I13">
        <v>279.96976818142753</v>
      </c>
      <c r="J13">
        <v>273.29332219941438</v>
      </c>
      <c r="K13">
        <v>266.61775055667476</v>
      </c>
      <c r="L13">
        <v>259.94217891393515</v>
      </c>
      <c r="M13">
        <v>253.26787080065432</v>
      </c>
      <c r="N13">
        <v>246.59356268737349</v>
      </c>
      <c r="O13">
        <v>239.9208520714362</v>
      </c>
      <c r="P13">
        <v>233.24814145549891</v>
      </c>
      <c r="Q13">
        <v>226.57729248649036</v>
      </c>
      <c r="R13">
        <v>219.90644351748179</v>
      </c>
      <c r="S13">
        <v>213.23763898208321</v>
      </c>
      <c r="T13">
        <v>206.56883444668463</v>
      </c>
      <c r="U13">
        <v>199.9021677800182</v>
      </c>
      <c r="V13">
        <v>193.2355011133518</v>
      </c>
      <c r="W13">
        <v>186.57097231541749</v>
      </c>
      <c r="X13">
        <v>179.90644351748318</v>
      </c>
      <c r="Y13">
        <v>173.24395915315873</v>
      </c>
      <c r="Z13">
        <v>166.58147478883427</v>
      </c>
      <c r="AA13">
        <v>159.92085207143839</v>
      </c>
      <c r="AB13">
        <v>153.26022935404251</v>
      </c>
      <c r="AC13">
        <v>146.60120413398997</v>
      </c>
      <c r="AD13">
        <v>139.94217891393743</v>
      </c>
      <c r="AE13">
        <v>133.28441722334344</v>
      </c>
      <c r="AF13">
        <v>126.62665553274945</v>
      </c>
      <c r="AG13">
        <v>119.96976818142888</v>
      </c>
      <c r="AH13">
        <v>113.3128808301083</v>
      </c>
      <c r="AI13">
        <v>106.65644041505415</v>
      </c>
      <c r="AJ13">
        <f>C13</f>
        <v>100</v>
      </c>
    </row>
    <row r="15" spans="2:36" x14ac:dyDescent="0.3">
      <c r="E15" t="s">
        <v>10</v>
      </c>
      <c r="G15">
        <f>G13+(($C$10*$C$5)/($C$9*$C$8))*((H13-2*G13+F13)/($C$4^2))</f>
        <v>293.32310708172031</v>
      </c>
      <c r="H15">
        <f t="shared" ref="H15:AI15" si="1">H13+(($C$10*$C$5)/($C$9*$C$8))*((I13-2*H13+G13)/($C$4^2))</f>
        <v>286.64643763157392</v>
      </c>
      <c r="I15">
        <f t="shared" si="1"/>
        <v>279.96976818142753</v>
      </c>
      <c r="J15">
        <f t="shared" si="1"/>
        <v>273.29375936905114</v>
      </c>
      <c r="K15">
        <f t="shared" si="1"/>
        <v>266.61775055667476</v>
      </c>
      <c r="L15">
        <f t="shared" si="1"/>
        <v>259.94281067866456</v>
      </c>
      <c r="M15">
        <f t="shared" si="1"/>
        <v>253.26787080065432</v>
      </c>
      <c r="N15">
        <f t="shared" si="1"/>
        <v>246.59436143604526</v>
      </c>
      <c r="O15">
        <f t="shared" si="1"/>
        <v>239.9208520714362</v>
      </c>
      <c r="P15">
        <f t="shared" si="1"/>
        <v>233.2490722789633</v>
      </c>
      <c r="Q15">
        <f t="shared" si="1"/>
        <v>226.57729248649036</v>
      </c>
      <c r="R15">
        <f t="shared" si="1"/>
        <v>219.9074657342868</v>
      </c>
      <c r="S15">
        <f t="shared" si="1"/>
        <v>213.23763898208321</v>
      </c>
      <c r="T15">
        <f t="shared" si="1"/>
        <v>206.56990338105072</v>
      </c>
      <c r="U15">
        <f t="shared" si="1"/>
        <v>199.9021677800182</v>
      </c>
      <c r="V15">
        <f t="shared" si="1"/>
        <v>193.23657004771786</v>
      </c>
      <c r="W15">
        <f t="shared" si="1"/>
        <v>186.57097231541749</v>
      </c>
      <c r="X15">
        <f t="shared" si="1"/>
        <v>179.90746573428811</v>
      </c>
      <c r="Y15">
        <f t="shared" si="1"/>
        <v>173.24395915315873</v>
      </c>
      <c r="Z15">
        <f t="shared" si="1"/>
        <v>166.58240561229854</v>
      </c>
      <c r="AA15">
        <f t="shared" si="1"/>
        <v>159.92085207143839</v>
      </c>
      <c r="AB15">
        <f t="shared" si="1"/>
        <v>153.26102810271419</v>
      </c>
      <c r="AC15">
        <f t="shared" si="1"/>
        <v>146.60120413398997</v>
      </c>
      <c r="AD15">
        <f t="shared" si="1"/>
        <v>139.94281067866672</v>
      </c>
      <c r="AE15">
        <f t="shared" si="1"/>
        <v>133.28441722334344</v>
      </c>
      <c r="AF15">
        <f t="shared" si="1"/>
        <v>126.62709270238616</v>
      </c>
      <c r="AG15">
        <f t="shared" si="1"/>
        <v>119.96976818142888</v>
      </c>
      <c r="AH15">
        <f t="shared" si="1"/>
        <v>113.31310429824151</v>
      </c>
      <c r="AI15">
        <f t="shared" si="1"/>
        <v>106.65644041505415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6"/>
  <sheetViews>
    <sheetView workbookViewId="0">
      <selection activeCell="I24" sqref="I24"/>
    </sheetView>
  </sheetViews>
  <sheetFormatPr defaultRowHeight="14.4" x14ac:dyDescent="0.3"/>
  <cols>
    <col min="7" max="7" width="9.44140625" bestFit="1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4">
        <f>C3/30</f>
        <v>3.3333333333333335E-3</v>
      </c>
    </row>
    <row r="5" spans="2:36" x14ac:dyDescent="0.3">
      <c r="B5" s="2" t="s">
        <v>2</v>
      </c>
      <c r="C5" s="4">
        <f>(C9*C8*C4^2)/(2*C10)</f>
        <v>0.4333333333333334</v>
      </c>
    </row>
    <row r="6" spans="2:36" x14ac:dyDescent="0.3">
      <c r="B6" s="2" t="s">
        <v>3</v>
      </c>
      <c r="C6" s="2">
        <v>500</v>
      </c>
      <c r="D6">
        <v>500.06666666666672</v>
      </c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11</v>
      </c>
      <c r="C12" s="2">
        <v>92000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9</v>
      </c>
      <c r="C13" s="2">
        <v>100</v>
      </c>
      <c r="E13" t="s">
        <v>7</v>
      </c>
      <c r="F13">
        <f>(F16/C10)*C4+G13</f>
        <v>299.99999686285491</v>
      </c>
      <c r="G13">
        <v>293.33333019618823</v>
      </c>
      <c r="H13">
        <v>286.66666353841413</v>
      </c>
      <c r="I13">
        <v>279.99999688950743</v>
      </c>
      <c r="J13">
        <v>273.33333024941771</v>
      </c>
      <c r="K13">
        <v>266.66666361806972</v>
      </c>
      <c r="L13">
        <v>259.99999699536329</v>
      </c>
      <c r="M13">
        <v>253.33333038117391</v>
      </c>
      <c r="N13">
        <v>246.66666377535262</v>
      </c>
      <c r="O13">
        <v>239.99999717772718</v>
      </c>
      <c r="P13">
        <v>233.33333058810166</v>
      </c>
      <c r="Q13">
        <v>226.66666400625792</v>
      </c>
      <c r="R13">
        <v>219.99999743195531</v>
      </c>
      <c r="S13">
        <v>213.33333086493218</v>
      </c>
      <c r="T13">
        <v>206.66666430490591</v>
      </c>
      <c r="U13">
        <v>199.9999977515744</v>
      </c>
      <c r="V13">
        <v>193.3333312046162</v>
      </c>
      <c r="W13">
        <v>186.66666466369219</v>
      </c>
      <c r="X13">
        <v>179.99999812844572</v>
      </c>
      <c r="Y13">
        <v>173.33333159850449</v>
      </c>
      <c r="Z13">
        <v>166.66666507348069</v>
      </c>
      <c r="AA13">
        <v>159.9999985529731</v>
      </c>
      <c r="AB13">
        <v>153.3333320365671</v>
      </c>
      <c r="AC13">
        <v>146.66666552383708</v>
      </c>
      <c r="AD13">
        <v>139.9999990143464</v>
      </c>
      <c r="AE13">
        <v>133.3333325076498</v>
      </c>
      <c r="AF13">
        <v>126.66666600329356</v>
      </c>
      <c r="AG13">
        <v>119.99999950081784</v>
      </c>
      <c r="AH13">
        <v>113.333332999757</v>
      </c>
      <c r="AI13">
        <v>106.66666649964179</v>
      </c>
      <c r="AJ13">
        <f>C13</f>
        <v>100</v>
      </c>
    </row>
    <row r="15" spans="2:36" x14ac:dyDescent="0.3">
      <c r="E15" t="s">
        <v>10</v>
      </c>
      <c r="G15" s="1">
        <f>G13+(($C$10*$C$5)/($C$9*$C$8))*((H13-2*G13+F13)/($C$4^2))</f>
        <v>293.33333020063452</v>
      </c>
      <c r="H15">
        <f t="shared" ref="H15:AI15" si="1">H13+(($C$10*$C$5)/($C$9*$C$8))*((I13-2*H13+G13)/($C$4^2))</f>
        <v>286.6666635428478</v>
      </c>
      <c r="I15">
        <f t="shared" si="1"/>
        <v>279.99999689391592</v>
      </c>
      <c r="J15">
        <f t="shared" si="1"/>
        <v>273.33333025378857</v>
      </c>
      <c r="K15">
        <f t="shared" si="1"/>
        <v>266.6666636223905</v>
      </c>
      <c r="L15">
        <f t="shared" si="1"/>
        <v>259.99999699962183</v>
      </c>
      <c r="M15">
        <f t="shared" si="1"/>
        <v>253.33333038535795</v>
      </c>
      <c r="N15">
        <f t="shared" si="1"/>
        <v>246.66666377945054</v>
      </c>
      <c r="O15">
        <f t="shared" si="1"/>
        <v>239.99999718172714</v>
      </c>
      <c r="P15">
        <f t="shared" si="1"/>
        <v>233.33333059199254</v>
      </c>
      <c r="Q15">
        <f t="shared" si="1"/>
        <v>226.66666401002848</v>
      </c>
      <c r="R15">
        <f t="shared" si="1"/>
        <v>219.99999743559505</v>
      </c>
      <c r="S15">
        <f t="shared" si="1"/>
        <v>213.33333086843061</v>
      </c>
      <c r="T15">
        <f t="shared" si="1"/>
        <v>206.6666643082533</v>
      </c>
      <c r="U15">
        <f t="shared" si="1"/>
        <v>199.99999775476107</v>
      </c>
      <c r="V15">
        <f t="shared" si="1"/>
        <v>193.33333120763331</v>
      </c>
      <c r="W15">
        <f t="shared" si="1"/>
        <v>186.66666466653095</v>
      </c>
      <c r="X15">
        <f t="shared" si="1"/>
        <v>179.99999813109832</v>
      </c>
      <c r="Y15">
        <f t="shared" si="1"/>
        <v>173.33333160096322</v>
      </c>
      <c r="Z15">
        <f t="shared" si="1"/>
        <v>166.66666507573879</v>
      </c>
      <c r="AA15">
        <f t="shared" si="1"/>
        <v>159.99999855502389</v>
      </c>
      <c r="AB15">
        <f t="shared" si="1"/>
        <v>153.3333320384051</v>
      </c>
      <c r="AC15">
        <f t="shared" si="1"/>
        <v>146.66666552545675</v>
      </c>
      <c r="AD15">
        <f t="shared" si="1"/>
        <v>139.99999901574344</v>
      </c>
      <c r="AE15">
        <f t="shared" si="1"/>
        <v>133.33333250881998</v>
      </c>
      <c r="AF15">
        <f t="shared" si="1"/>
        <v>126.66666600423382</v>
      </c>
      <c r="AG15">
        <f t="shared" si="1"/>
        <v>119.99999950152528</v>
      </c>
      <c r="AH15">
        <f t="shared" si="1"/>
        <v>113.33333300022981</v>
      </c>
      <c r="AI15">
        <f t="shared" si="1"/>
        <v>106.6666664998785</v>
      </c>
    </row>
    <row r="16" spans="2:36" x14ac:dyDescent="0.3">
      <c r="E16" t="s">
        <v>12</v>
      </c>
      <c r="F16">
        <v>92000</v>
      </c>
      <c r="G16">
        <f>-$C$10*((G13-F13)/($C$4))</f>
        <v>92000.000000000247</v>
      </c>
      <c r="H16">
        <f t="shared" ref="H16:AI16" si="2">-$C$10*((H13-G13)/($C$4))</f>
        <v>91999.999877282593</v>
      </c>
      <c r="I16">
        <f t="shared" si="2"/>
        <v>91999.999754912424</v>
      </c>
      <c r="J16">
        <f t="shared" si="2"/>
        <v>91999.999633238069</v>
      </c>
      <c r="K16">
        <f t="shared" si="2"/>
        <v>91999.999512602299</v>
      </c>
      <c r="L16">
        <f t="shared" si="2"/>
        <v>91999.999393348713</v>
      </c>
      <c r="M16">
        <f t="shared" si="2"/>
        <v>91999.999275813461</v>
      </c>
      <c r="N16">
        <f t="shared" si="2"/>
        <v>91999.999160333813</v>
      </c>
      <c r="O16">
        <f t="shared" si="2"/>
        <v>91999.999047231016</v>
      </c>
      <c r="P16">
        <f t="shared" si="2"/>
        <v>91999.998936832184</v>
      </c>
      <c r="Q16">
        <f t="shared" si="2"/>
        <v>91999.998829443633</v>
      </c>
      <c r="R16">
        <f t="shared" si="2"/>
        <v>91999.998725376005</v>
      </c>
      <c r="S16">
        <f t="shared" si="2"/>
        <v>91999.998624919157</v>
      </c>
      <c r="T16">
        <f t="shared" si="2"/>
        <v>91999.998528362543</v>
      </c>
      <c r="U16">
        <f t="shared" si="2"/>
        <v>91999.998435974834</v>
      </c>
      <c r="V16">
        <f t="shared" si="2"/>
        <v>91999.998348023117</v>
      </c>
      <c r="W16">
        <f t="shared" si="2"/>
        <v>91999.998264751368</v>
      </c>
      <c r="X16">
        <f t="shared" si="2"/>
        <v>91999.998186401179</v>
      </c>
      <c r="Y16">
        <f t="shared" si="2"/>
        <v>91999.998113189082</v>
      </c>
      <c r="Z16">
        <f t="shared" si="2"/>
        <v>91999.998045328422</v>
      </c>
      <c r="AA16">
        <f t="shared" si="2"/>
        <v>91999.997983004738</v>
      </c>
      <c r="AB16">
        <f t="shared" si="2"/>
        <v>91999.997926402735</v>
      </c>
      <c r="AC16">
        <f t="shared" si="2"/>
        <v>91999.997875674235</v>
      </c>
      <c r="AD16">
        <f t="shared" si="2"/>
        <v>91999.997830971406</v>
      </c>
      <c r="AE16">
        <f t="shared" si="2"/>
        <v>91999.99779241308</v>
      </c>
      <c r="AF16">
        <f t="shared" si="2"/>
        <v>91999.997760116152</v>
      </c>
      <c r="AG16">
        <f t="shared" si="2"/>
        <v>91999.997734164936</v>
      </c>
      <c r="AH16">
        <f t="shared" si="2"/>
        <v>91999.997714639467</v>
      </c>
      <c r="AI16">
        <f t="shared" si="2"/>
        <v>91999.997701589935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3:AJ22"/>
  <sheetViews>
    <sheetView tabSelected="1" workbookViewId="0">
      <selection activeCell="C18" sqref="C18"/>
    </sheetView>
  </sheetViews>
  <sheetFormatPr defaultRowHeight="14.4" x14ac:dyDescent="0.3"/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4">
        <f>C3/30</f>
        <v>3.3333333333333335E-3</v>
      </c>
    </row>
    <row r="5" spans="2:36" x14ac:dyDescent="0.3">
      <c r="B5" s="2" t="s">
        <v>2</v>
      </c>
      <c r="C5" s="4">
        <f>(C9*C8*C4^2)/(2*C10)</f>
        <v>0.4333333333333334</v>
      </c>
    </row>
    <row r="6" spans="2:36" x14ac:dyDescent="0.3">
      <c r="B6" s="2" t="s">
        <v>3</v>
      </c>
      <c r="C6" s="2">
        <v>2</v>
      </c>
      <c r="D6">
        <v>1000.1333333333334</v>
      </c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11</v>
      </c>
      <c r="C12" s="2">
        <v>92000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9</v>
      </c>
      <c r="C13" s="2">
        <v>100</v>
      </c>
      <c r="E13" t="s">
        <v>7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</row>
    <row r="15" spans="2:36" x14ac:dyDescent="0.3">
      <c r="E15" t="s">
        <v>10</v>
      </c>
      <c r="F15" s="1">
        <f>F13+(($C$10*$C$5)/($C$9*$C$8))*((G13-F13)/($C$4^2))</f>
        <v>0</v>
      </c>
      <c r="G15" s="1">
        <f>G13+(($C$10*$C$5)/($C$9*$C$8))*((H13-2*G13+F13)/($C$4^2))</f>
        <v>0</v>
      </c>
      <c r="H15">
        <f t="shared" ref="H15:AJ15" si="1">H13+(($C$10*$C$5)/($C$9*$C$8))*((I13-2*H13+G13)/($C$4^2))</f>
        <v>0</v>
      </c>
      <c r="I15">
        <f t="shared" si="1"/>
        <v>0</v>
      </c>
      <c r="J15">
        <f t="shared" si="1"/>
        <v>0</v>
      </c>
      <c r="K15">
        <f t="shared" si="1"/>
        <v>0</v>
      </c>
      <c r="L15">
        <f t="shared" si="1"/>
        <v>0</v>
      </c>
      <c r="M15">
        <f t="shared" si="1"/>
        <v>0</v>
      </c>
      <c r="N15">
        <f t="shared" si="1"/>
        <v>0</v>
      </c>
      <c r="O15">
        <f t="shared" si="1"/>
        <v>0</v>
      </c>
      <c r="P15">
        <f t="shared" si="1"/>
        <v>0</v>
      </c>
      <c r="Q15">
        <f t="shared" si="1"/>
        <v>0</v>
      </c>
      <c r="R15">
        <f t="shared" si="1"/>
        <v>0</v>
      </c>
      <c r="S15">
        <f t="shared" si="1"/>
        <v>0</v>
      </c>
      <c r="T15">
        <f t="shared" si="1"/>
        <v>0</v>
      </c>
      <c r="U15">
        <f t="shared" si="1"/>
        <v>0</v>
      </c>
      <c r="V15">
        <f t="shared" si="1"/>
        <v>0</v>
      </c>
      <c r="W15">
        <f t="shared" si="1"/>
        <v>0</v>
      </c>
      <c r="X15">
        <f t="shared" si="1"/>
        <v>0</v>
      </c>
      <c r="Y15">
        <f t="shared" si="1"/>
        <v>0</v>
      </c>
      <c r="Z15">
        <f t="shared" si="1"/>
        <v>0</v>
      </c>
      <c r="AA15">
        <f t="shared" si="1"/>
        <v>0</v>
      </c>
      <c r="AB15">
        <f t="shared" si="1"/>
        <v>0</v>
      </c>
      <c r="AC15">
        <f t="shared" si="1"/>
        <v>0</v>
      </c>
      <c r="AD15">
        <f t="shared" si="1"/>
        <v>0</v>
      </c>
      <c r="AE15">
        <f t="shared" si="1"/>
        <v>0</v>
      </c>
      <c r="AF15">
        <f t="shared" si="1"/>
        <v>0</v>
      </c>
      <c r="AG15">
        <f t="shared" si="1"/>
        <v>0</v>
      </c>
      <c r="AH15">
        <f t="shared" si="1"/>
        <v>0</v>
      </c>
      <c r="AI15">
        <f t="shared" si="1"/>
        <v>0</v>
      </c>
      <c r="AJ15">
        <f t="shared" si="1"/>
        <v>0</v>
      </c>
    </row>
    <row r="16" spans="2:36" x14ac:dyDescent="0.3">
      <c r="E16" t="s">
        <v>12</v>
      </c>
      <c r="F16">
        <f>C22*(C18-F13)</f>
        <v>20000</v>
      </c>
      <c r="G16">
        <f>-$C$10*((G13-F13)/($C$4))</f>
        <v>0</v>
      </c>
      <c r="H16">
        <f t="shared" ref="H16:AI16" si="2">-$C$10*((H13-G13)/($C$4))</f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>
        <f t="shared" si="2"/>
        <v>0</v>
      </c>
      <c r="N16">
        <f t="shared" si="2"/>
        <v>0</v>
      </c>
      <c r="O16">
        <f t="shared" si="2"/>
        <v>0</v>
      </c>
      <c r="P16">
        <f t="shared" si="2"/>
        <v>0</v>
      </c>
      <c r="Q16">
        <f t="shared" si="2"/>
        <v>0</v>
      </c>
      <c r="R16">
        <f t="shared" si="2"/>
        <v>0</v>
      </c>
      <c r="S16">
        <f t="shared" si="2"/>
        <v>0</v>
      </c>
      <c r="T16">
        <f t="shared" si="2"/>
        <v>0</v>
      </c>
      <c r="U16">
        <f t="shared" si="2"/>
        <v>0</v>
      </c>
      <c r="V16">
        <f t="shared" si="2"/>
        <v>0</v>
      </c>
      <c r="W16">
        <f t="shared" si="2"/>
        <v>0</v>
      </c>
      <c r="X16">
        <f t="shared" si="2"/>
        <v>0</v>
      </c>
      <c r="Y16">
        <f t="shared" si="2"/>
        <v>0</v>
      </c>
      <c r="Z16">
        <f t="shared" si="2"/>
        <v>0</v>
      </c>
      <c r="AA16">
        <f t="shared" si="2"/>
        <v>0</v>
      </c>
      <c r="AB16">
        <f t="shared" si="2"/>
        <v>0</v>
      </c>
      <c r="AC16">
        <f t="shared" si="2"/>
        <v>0</v>
      </c>
      <c r="AD16">
        <f t="shared" si="2"/>
        <v>0</v>
      </c>
      <c r="AE16">
        <f t="shared" si="2"/>
        <v>0</v>
      </c>
      <c r="AF16">
        <f t="shared" si="2"/>
        <v>0</v>
      </c>
      <c r="AG16">
        <f t="shared" si="2"/>
        <v>0</v>
      </c>
      <c r="AH16">
        <f t="shared" si="2"/>
        <v>0</v>
      </c>
      <c r="AI16">
        <f t="shared" si="2"/>
        <v>0</v>
      </c>
      <c r="AJ16">
        <f>C22*(C20-AJ13)</f>
        <v>2500</v>
      </c>
    </row>
    <row r="18" spans="2:3" x14ac:dyDescent="0.3">
      <c r="B18" t="s">
        <v>13</v>
      </c>
      <c r="C18">
        <v>400</v>
      </c>
    </row>
    <row r="20" spans="2:3" x14ac:dyDescent="0.3">
      <c r="B20" t="s">
        <v>14</v>
      </c>
      <c r="C20">
        <v>50</v>
      </c>
    </row>
    <row r="22" spans="2:3" x14ac:dyDescent="0.3">
      <c r="B22" t="s">
        <v>15</v>
      </c>
      <c r="C22">
        <v>50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Я</dc:creator>
  <cp:lastModifiedBy>Я</cp:lastModifiedBy>
  <dcterms:created xsi:type="dcterms:W3CDTF">2021-03-03T11:09:41Z</dcterms:created>
  <dcterms:modified xsi:type="dcterms:W3CDTF">2021-03-03T14:56:08Z</dcterms:modified>
</cp:coreProperties>
</file>