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0" yWindow="0" windowWidth="19200" windowHeight="11460" activeTab="1"/>
  </bookViews>
  <sheets>
    <sheet name="main" sheetId="5" r:id="rId1"/>
    <sheet name="Лист1" sheetId="4" r:id="rId2"/>
  </sheets>
  <calcPr calcId="144525"/>
</workbook>
</file>

<file path=xl/calcChain.xml><?xml version="1.0" encoding="utf-8"?>
<calcChain xmlns="http://schemas.openxmlformats.org/spreadsheetml/2006/main">
  <c r="Y22" i="5" l="1"/>
  <c r="Y21" i="5"/>
  <c r="Y10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Y11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F46" i="5" l="1"/>
  <c r="Y7" i="5" s="1"/>
  <c r="F41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U84" i="5"/>
  <c r="E84" i="5"/>
  <c r="U83" i="5"/>
  <c r="E83" i="5"/>
  <c r="U82" i="5"/>
  <c r="E82" i="5"/>
  <c r="U81" i="5"/>
  <c r="E81" i="5"/>
  <c r="U80" i="5"/>
  <c r="E80" i="5"/>
  <c r="U79" i="5"/>
  <c r="E79" i="5"/>
  <c r="U78" i="5"/>
  <c r="E78" i="5"/>
  <c r="U77" i="5"/>
  <c r="E77" i="5"/>
  <c r="U76" i="5"/>
  <c r="E76" i="5"/>
  <c r="U75" i="5"/>
  <c r="E75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U67" i="5"/>
  <c r="E67" i="5"/>
  <c r="U66" i="5"/>
  <c r="E66" i="5"/>
  <c r="U65" i="5"/>
  <c r="E65" i="5"/>
  <c r="U64" i="5"/>
  <c r="E64" i="5"/>
  <c r="U63" i="5"/>
  <c r="E63" i="5"/>
  <c r="U62" i="5"/>
  <c r="E62" i="5"/>
  <c r="U61" i="5"/>
  <c r="E61" i="5"/>
  <c r="U60" i="5"/>
  <c r="E60" i="5"/>
  <c r="U59" i="5"/>
  <c r="E59" i="5"/>
  <c r="U58" i="5"/>
  <c r="E58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U50" i="5"/>
  <c r="E50" i="5"/>
  <c r="U49" i="5"/>
  <c r="E49" i="5"/>
  <c r="U48" i="5"/>
  <c r="E48" i="5"/>
  <c r="U47" i="5"/>
  <c r="E47" i="5"/>
  <c r="U46" i="5"/>
  <c r="E46" i="5"/>
  <c r="U45" i="5"/>
  <c r="E45" i="5"/>
  <c r="U44" i="5"/>
  <c r="E44" i="5"/>
  <c r="U43" i="5"/>
  <c r="E43" i="5"/>
  <c r="U42" i="5"/>
  <c r="E42" i="5"/>
  <c r="U41" i="5"/>
  <c r="E41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P15" i="5"/>
  <c r="Q15" i="5"/>
  <c r="R15" i="5"/>
  <c r="S15" i="5"/>
  <c r="T15" i="5"/>
  <c r="O15" i="5"/>
  <c r="AH6" i="5" s="1"/>
  <c r="N14" i="5"/>
  <c r="AG6" i="5" s="1"/>
  <c r="M13" i="5"/>
  <c r="AF6" i="5" s="1"/>
  <c r="L12" i="5"/>
  <c r="AE6" i="5" s="1"/>
  <c r="K11" i="5"/>
  <c r="AD6" i="5" s="1"/>
  <c r="G10" i="5"/>
  <c r="H10" i="5"/>
  <c r="I10" i="5"/>
  <c r="J10" i="5"/>
  <c r="F10" i="5"/>
  <c r="Y6" i="5" s="1"/>
  <c r="F4" i="5"/>
  <c r="G4" i="5"/>
  <c r="E5" i="5"/>
  <c r="E6" i="5"/>
  <c r="G6" i="5"/>
  <c r="L11" i="5"/>
  <c r="K10" i="5"/>
  <c r="L10" i="5"/>
  <c r="M10" i="5"/>
  <c r="M11" i="5"/>
  <c r="M12" i="5"/>
  <c r="N10" i="5"/>
  <c r="N11" i="5"/>
  <c r="N12" i="5"/>
  <c r="N13" i="5"/>
  <c r="O10" i="5"/>
  <c r="P10" i="5"/>
  <c r="Q10" i="5"/>
  <c r="R10" i="5"/>
  <c r="S10" i="5"/>
  <c r="O11" i="5"/>
  <c r="P11" i="5"/>
  <c r="Q11" i="5"/>
  <c r="R11" i="5"/>
  <c r="S11" i="5"/>
  <c r="O12" i="5"/>
  <c r="P12" i="5"/>
  <c r="Q12" i="5"/>
  <c r="R12" i="5"/>
  <c r="S12" i="5"/>
  <c r="O13" i="5"/>
  <c r="P13" i="5"/>
  <c r="Q13" i="5"/>
  <c r="R13" i="5"/>
  <c r="S13" i="5"/>
  <c r="O14" i="5"/>
  <c r="P14" i="5"/>
  <c r="O67" i="5" s="1"/>
  <c r="Q14" i="5"/>
  <c r="R14" i="5"/>
  <c r="S14" i="5"/>
  <c r="G7" i="5"/>
  <c r="H7" i="5"/>
  <c r="I7" i="5"/>
  <c r="J7" i="5"/>
  <c r="K7" i="5"/>
  <c r="L7" i="5"/>
  <c r="K60" i="5" s="1"/>
  <c r="M7" i="5"/>
  <c r="N7" i="5"/>
  <c r="M60" i="5" s="1"/>
  <c r="O7" i="5"/>
  <c r="P7" i="5"/>
  <c r="Q7" i="5"/>
  <c r="P60" i="5" s="1"/>
  <c r="R7" i="5"/>
  <c r="S7" i="5"/>
  <c r="G8" i="5"/>
  <c r="H8" i="5"/>
  <c r="I8" i="5"/>
  <c r="J8" i="5"/>
  <c r="K8" i="5"/>
  <c r="L8" i="5"/>
  <c r="M8" i="5"/>
  <c r="N8" i="5"/>
  <c r="O8" i="5"/>
  <c r="N61" i="5" s="1"/>
  <c r="P8" i="5"/>
  <c r="Q8" i="5"/>
  <c r="P61" i="5" s="1"/>
  <c r="R8" i="5"/>
  <c r="S8" i="5"/>
  <c r="G9" i="5"/>
  <c r="H9" i="5"/>
  <c r="I9" i="5"/>
  <c r="H62" i="5" s="1"/>
  <c r="J9" i="5"/>
  <c r="K9" i="5"/>
  <c r="L9" i="5"/>
  <c r="M9" i="5"/>
  <c r="N9" i="5"/>
  <c r="O9" i="5"/>
  <c r="P9" i="5"/>
  <c r="Q9" i="5"/>
  <c r="R9" i="5"/>
  <c r="S9" i="5"/>
  <c r="H6" i="5"/>
  <c r="I6" i="5"/>
  <c r="J6" i="5"/>
  <c r="K6" i="5"/>
  <c r="L6" i="5"/>
  <c r="M6" i="5"/>
  <c r="N6" i="5"/>
  <c r="O6" i="5"/>
  <c r="P6" i="5"/>
  <c r="Q6" i="5"/>
  <c r="R6" i="5"/>
  <c r="S6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U32" i="5"/>
  <c r="E32" i="5"/>
  <c r="U31" i="5"/>
  <c r="E31" i="5"/>
  <c r="U30" i="5"/>
  <c r="E30" i="5"/>
  <c r="U29" i="5"/>
  <c r="E29" i="5"/>
  <c r="U28" i="5"/>
  <c r="E28" i="5"/>
  <c r="U27" i="5"/>
  <c r="E27" i="5"/>
  <c r="U26" i="5"/>
  <c r="E26" i="5"/>
  <c r="U25" i="5"/>
  <c r="E25" i="5"/>
  <c r="U24" i="5"/>
  <c r="E24" i="5"/>
  <c r="U23" i="5"/>
  <c r="E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F9" i="5"/>
  <c r="F8" i="5" s="1"/>
  <c r="F7" i="5" s="1"/>
  <c r="F6" i="5" s="1"/>
  <c r="F5" i="5" s="1"/>
  <c r="U5" i="5"/>
  <c r="U6" i="5"/>
  <c r="U7" i="5"/>
  <c r="U8" i="5"/>
  <c r="U9" i="5"/>
  <c r="U10" i="5"/>
  <c r="U11" i="5"/>
  <c r="U12" i="5"/>
  <c r="U13" i="5"/>
  <c r="U14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F16" i="5"/>
  <c r="H4" i="5"/>
  <c r="I4" i="5"/>
  <c r="J4" i="5"/>
  <c r="K4" i="5"/>
  <c r="L4" i="5"/>
  <c r="M4" i="5"/>
  <c r="N4" i="5"/>
  <c r="O4" i="5"/>
  <c r="P4" i="5"/>
  <c r="Q4" i="5"/>
  <c r="R4" i="5"/>
  <c r="S4" i="5"/>
  <c r="T4" i="5"/>
  <c r="E7" i="5"/>
  <c r="E8" i="5"/>
  <c r="E9" i="5"/>
  <c r="E10" i="5"/>
  <c r="B6" i="5" s="1"/>
  <c r="T14" i="5" s="1"/>
  <c r="E11" i="5"/>
  <c r="E12" i="5"/>
  <c r="E13" i="5"/>
  <c r="E14" i="5"/>
  <c r="T13" i="5" l="1"/>
  <c r="T50" i="5"/>
  <c r="T51" i="5"/>
  <c r="AM7" i="5" s="1"/>
  <c r="O60" i="5"/>
  <c r="G60" i="5"/>
  <c r="O68" i="5"/>
  <c r="AH8" i="5" s="1"/>
  <c r="AI6" i="5"/>
  <c r="F44" i="5"/>
  <c r="N60" i="5"/>
  <c r="F60" i="5"/>
  <c r="F77" i="5" s="1"/>
  <c r="F43" i="5"/>
  <c r="F42" i="5"/>
  <c r="G5" i="5"/>
  <c r="Y17" i="5"/>
  <c r="O61" i="5"/>
  <c r="I63" i="5"/>
  <c r="AB8" i="5" s="1"/>
  <c r="AC6" i="5"/>
  <c r="Y18" i="5"/>
  <c r="AB6" i="5"/>
  <c r="H63" i="5"/>
  <c r="AA8" i="5" s="1"/>
  <c r="AM6" i="5"/>
  <c r="S68" i="5"/>
  <c r="AL8" i="5" s="1"/>
  <c r="T68" i="5"/>
  <c r="F59" i="5"/>
  <c r="F76" i="5" s="1"/>
  <c r="AA6" i="5"/>
  <c r="G63" i="5"/>
  <c r="Z8" i="5" s="1"/>
  <c r="AL6" i="5"/>
  <c r="R68" i="5"/>
  <c r="AK8" i="5" s="1"/>
  <c r="G62" i="5"/>
  <c r="Z6" i="5"/>
  <c r="F63" i="5"/>
  <c r="AK6" i="5"/>
  <c r="Q68" i="5"/>
  <c r="AJ8" i="5" s="1"/>
  <c r="F62" i="5"/>
  <c r="F79" i="5" s="1"/>
  <c r="P68" i="5"/>
  <c r="AI8" i="5" s="1"/>
  <c r="AJ6" i="5"/>
  <c r="F45" i="5"/>
  <c r="L61" i="5"/>
  <c r="M61" i="5"/>
  <c r="J60" i="5"/>
  <c r="M63" i="5"/>
  <c r="M62" i="5"/>
  <c r="I60" i="5"/>
  <c r="M64" i="5"/>
  <c r="O59" i="5"/>
  <c r="L62" i="5"/>
  <c r="P59" i="5"/>
  <c r="L63" i="5"/>
  <c r="N62" i="5"/>
  <c r="K61" i="5"/>
  <c r="J61" i="5"/>
  <c r="H60" i="5"/>
  <c r="N65" i="5"/>
  <c r="R60" i="5"/>
  <c r="M43" i="5"/>
  <c r="M77" i="5" s="1"/>
  <c r="L59" i="5"/>
  <c r="O51" i="5"/>
  <c r="N67" i="5"/>
  <c r="AG8" i="5" s="1"/>
  <c r="Q50" i="5"/>
  <c r="P66" i="5"/>
  <c r="O47" i="5"/>
  <c r="N63" i="5"/>
  <c r="L60" i="5"/>
  <c r="O50" i="5"/>
  <c r="O84" i="5" s="1"/>
  <c r="N66" i="5"/>
  <c r="N50" i="5"/>
  <c r="AG7" i="5" s="1"/>
  <c r="M66" i="5"/>
  <c r="AF8" i="5" s="1"/>
  <c r="K43" i="5"/>
  <c r="K77" i="5" s="1"/>
  <c r="J59" i="5"/>
  <c r="Q47" i="5"/>
  <c r="P63" i="5"/>
  <c r="Q61" i="5"/>
  <c r="R46" i="5"/>
  <c r="Q62" i="5"/>
  <c r="S49" i="5"/>
  <c r="R65" i="5"/>
  <c r="N49" i="5"/>
  <c r="M65" i="5"/>
  <c r="O48" i="5"/>
  <c r="N64" i="5"/>
  <c r="S50" i="5"/>
  <c r="R66" i="5"/>
  <c r="T66" i="5"/>
  <c r="I43" i="5"/>
  <c r="H59" i="5"/>
  <c r="H43" i="5"/>
  <c r="G59" i="5"/>
  <c r="Q49" i="5"/>
  <c r="P65" i="5"/>
  <c r="R47" i="5"/>
  <c r="Q63" i="5"/>
  <c r="R50" i="5"/>
  <c r="Q66" i="5"/>
  <c r="S66" i="5"/>
  <c r="P50" i="5"/>
  <c r="O66" i="5"/>
  <c r="O65" i="5"/>
  <c r="M49" i="5"/>
  <c r="AF7" i="5" s="1"/>
  <c r="L65" i="5"/>
  <c r="AE8" i="5" s="1"/>
  <c r="Q60" i="5"/>
  <c r="P46" i="5"/>
  <c r="O62" i="5"/>
  <c r="Q59" i="5"/>
  <c r="M48" i="5"/>
  <c r="L64" i="5"/>
  <c r="S47" i="5"/>
  <c r="R63" i="5"/>
  <c r="P47" i="5"/>
  <c r="O63" i="5"/>
  <c r="S46" i="5"/>
  <c r="R62" i="5"/>
  <c r="Q46" i="5"/>
  <c r="P62" i="5"/>
  <c r="I45" i="5"/>
  <c r="H61" i="5"/>
  <c r="L47" i="5"/>
  <c r="K63" i="5"/>
  <c r="R61" i="5"/>
  <c r="J45" i="5"/>
  <c r="I61" i="5"/>
  <c r="L46" i="5"/>
  <c r="K62" i="5"/>
  <c r="Q64" i="5"/>
  <c r="N59" i="5"/>
  <c r="K46" i="5"/>
  <c r="J62" i="5"/>
  <c r="H45" i="5"/>
  <c r="H79" i="5" s="1"/>
  <c r="G61" i="5"/>
  <c r="Q67" i="5"/>
  <c r="S67" i="5"/>
  <c r="P64" i="5"/>
  <c r="K47" i="5"/>
  <c r="AD7" i="5" s="1"/>
  <c r="J63" i="5"/>
  <c r="AC8" i="5" s="1"/>
  <c r="L43" i="5"/>
  <c r="K59" i="5"/>
  <c r="J43" i="5"/>
  <c r="J77" i="5" s="1"/>
  <c r="I59" i="5"/>
  <c r="Q65" i="5"/>
  <c r="R59" i="5"/>
  <c r="R64" i="5"/>
  <c r="R67" i="5"/>
  <c r="T67" i="5"/>
  <c r="T84" i="5" s="1"/>
  <c r="M59" i="5"/>
  <c r="I62" i="5"/>
  <c r="G45" i="5"/>
  <c r="G79" i="5" s="1"/>
  <c r="F61" i="5"/>
  <c r="F78" i="5" s="1"/>
  <c r="P67" i="5"/>
  <c r="O64" i="5"/>
  <c r="L48" i="5"/>
  <c r="AE7" i="5" s="1"/>
  <c r="K64" i="5"/>
  <c r="AD8" i="5" s="1"/>
  <c r="L45" i="5"/>
  <c r="L79" i="5" s="1"/>
  <c r="R49" i="5"/>
  <c r="K45" i="5"/>
  <c r="N45" i="5"/>
  <c r="M45" i="5"/>
  <c r="M79" i="5" s="1"/>
  <c r="M46" i="5"/>
  <c r="S44" i="5"/>
  <c r="P45" i="5"/>
  <c r="R44" i="5"/>
  <c r="P44" i="5"/>
  <c r="P78" i="5" s="1"/>
  <c r="Q45" i="5"/>
  <c r="Q44" i="5"/>
  <c r="O44" i="5"/>
  <c r="O78" i="5" s="1"/>
  <c r="K44" i="5"/>
  <c r="N47" i="5"/>
  <c r="I44" i="5"/>
  <c r="P49" i="5"/>
  <c r="M44" i="5"/>
  <c r="M78" i="5" s="1"/>
  <c r="N48" i="5"/>
  <c r="J44" i="5"/>
  <c r="N46" i="5"/>
  <c r="H44" i="5"/>
  <c r="O49" i="5"/>
  <c r="G41" i="5"/>
  <c r="G43" i="5"/>
  <c r="G77" i="5" s="1"/>
  <c r="R45" i="5"/>
  <c r="N44" i="5"/>
  <c r="N78" i="5" s="1"/>
  <c r="O45" i="5"/>
  <c r="O46" i="5"/>
  <c r="G42" i="5"/>
  <c r="G44" i="5"/>
  <c r="S48" i="5"/>
  <c r="M47" i="5"/>
  <c r="M81" i="5" s="1"/>
  <c r="R48" i="5"/>
  <c r="S45" i="5"/>
  <c r="R43" i="5"/>
  <c r="P43" i="5"/>
  <c r="P77" i="5" s="1"/>
  <c r="Q48" i="5"/>
  <c r="L44" i="5"/>
  <c r="L78" i="5" s="1"/>
  <c r="S43" i="5"/>
  <c r="Q43" i="5"/>
  <c r="O43" i="5"/>
  <c r="O77" i="5" s="1"/>
  <c r="N43" i="5"/>
  <c r="N77" i="5" s="1"/>
  <c r="P48" i="5"/>
  <c r="R51" i="5"/>
  <c r="S51" i="5"/>
  <c r="Q51" i="5"/>
  <c r="P51" i="5"/>
  <c r="I46" i="5"/>
  <c r="J46" i="5"/>
  <c r="AC7" i="5" s="1"/>
  <c r="H46" i="5"/>
  <c r="G46" i="5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DC186" i="4"/>
  <c r="CT178" i="4"/>
  <c r="CT179" i="4" s="1"/>
  <c r="CT180" i="4" s="1"/>
  <c r="CT181" i="4" s="1"/>
  <c r="CT182" i="4" s="1"/>
  <c r="CT183" i="4" s="1"/>
  <c r="CT184" i="4" s="1"/>
  <c r="CT185" i="4" s="1"/>
  <c r="CT186" i="4" s="1"/>
  <c r="CT187" i="4" s="1"/>
  <c r="CT188" i="4" s="1"/>
  <c r="CT189" i="4" s="1"/>
  <c r="CT190" i="4" s="1"/>
  <c r="CT191" i="4" s="1"/>
  <c r="CT192" i="4" s="1"/>
  <c r="CU177" i="4"/>
  <c r="CU178" i="4" s="1"/>
  <c r="CU179" i="4" s="1"/>
  <c r="CU180" i="4" s="1"/>
  <c r="CU181" i="4" s="1"/>
  <c r="CU182" i="4" s="1"/>
  <c r="CU183" i="4" s="1"/>
  <c r="CU184" i="4" s="1"/>
  <c r="CU185" i="4" s="1"/>
  <c r="CU186" i="4" s="1"/>
  <c r="CU187" i="4" s="1"/>
  <c r="CU188" i="4" s="1"/>
  <c r="CU189" i="4" s="1"/>
  <c r="CU190" i="4" s="1"/>
  <c r="CU191" i="4" s="1"/>
  <c r="CV177" i="4"/>
  <c r="CW177" i="4"/>
  <c r="CV178" i="4"/>
  <c r="CV179" i="4" s="1"/>
  <c r="CV180" i="4" s="1"/>
  <c r="CV181" i="4" s="1"/>
  <c r="CV182" i="4" s="1"/>
  <c r="CV183" i="4" s="1"/>
  <c r="CV184" i="4" s="1"/>
  <c r="CV185" i="4" s="1"/>
  <c r="CV186" i="4" s="1"/>
  <c r="CV187" i="4" s="1"/>
  <c r="CV188" i="4" s="1"/>
  <c r="CV189" i="4" s="1"/>
  <c r="CV190" i="4" s="1"/>
  <c r="CV191" i="4" s="1"/>
  <c r="CW178" i="4"/>
  <c r="CW179" i="4" s="1"/>
  <c r="CW180" i="4" s="1"/>
  <c r="CW181" i="4" s="1"/>
  <c r="CW182" i="4" s="1"/>
  <c r="CW183" i="4" s="1"/>
  <c r="CW184" i="4" s="1"/>
  <c r="CW185" i="4" s="1"/>
  <c r="CW186" i="4" s="1"/>
  <c r="CW187" i="4" s="1"/>
  <c r="CW188" i="4" s="1"/>
  <c r="CW189" i="4" s="1"/>
  <c r="CW190" i="4" s="1"/>
  <c r="CW191" i="4" s="1"/>
  <c r="CX178" i="4"/>
  <c r="CX179" i="4" s="1"/>
  <c r="CX180" i="4" s="1"/>
  <c r="CX181" i="4" s="1"/>
  <c r="CX182" i="4" s="1"/>
  <c r="CX183" i="4" s="1"/>
  <c r="CX184" i="4" s="1"/>
  <c r="CX185" i="4" s="1"/>
  <c r="CX186" i="4" s="1"/>
  <c r="CX187" i="4" s="1"/>
  <c r="CX188" i="4" s="1"/>
  <c r="CX189" i="4" s="1"/>
  <c r="CX190" i="4" s="1"/>
  <c r="CX191" i="4" s="1"/>
  <c r="CX192" i="4" s="1"/>
  <c r="CS181" i="4"/>
  <c r="CS182" i="4" s="1"/>
  <c r="CS183" i="4" s="1"/>
  <c r="CS184" i="4" s="1"/>
  <c r="CS185" i="4" s="1"/>
  <c r="CS186" i="4" s="1"/>
  <c r="CS187" i="4" s="1"/>
  <c r="CS188" i="4" s="1"/>
  <c r="CS189" i="4" s="1"/>
  <c r="CS190" i="4" s="1"/>
  <c r="CS191" i="4" s="1"/>
  <c r="CS192" i="4" s="1"/>
  <c r="CY181" i="4"/>
  <c r="CY182" i="4" s="1"/>
  <c r="CY183" i="4" s="1"/>
  <c r="CY184" i="4" s="1"/>
  <c r="CY185" i="4" s="1"/>
  <c r="CY186" i="4" s="1"/>
  <c r="CY187" i="4" s="1"/>
  <c r="CY188" i="4" s="1"/>
  <c r="CY189" i="4" s="1"/>
  <c r="CY190" i="4" s="1"/>
  <c r="CY191" i="4" s="1"/>
  <c r="CY192" i="4" s="1"/>
  <c r="CR183" i="4"/>
  <c r="CR184" i="4" s="1"/>
  <c r="CR185" i="4" s="1"/>
  <c r="CR186" i="4" s="1"/>
  <c r="CR187" i="4" s="1"/>
  <c r="CR188" i="4" s="1"/>
  <c r="CR189" i="4" s="1"/>
  <c r="CR190" i="4" s="1"/>
  <c r="CR191" i="4" s="1"/>
  <c r="CR192" i="4" s="1"/>
  <c r="CZ183" i="4"/>
  <c r="CZ184" i="4" s="1"/>
  <c r="CZ185" i="4" s="1"/>
  <c r="CZ186" i="4" s="1"/>
  <c r="CZ187" i="4" s="1"/>
  <c r="CZ188" i="4" s="1"/>
  <c r="CZ189" i="4" s="1"/>
  <c r="CZ190" i="4" s="1"/>
  <c r="CZ191" i="4" s="1"/>
  <c r="CZ192" i="4" s="1"/>
  <c r="CQ185" i="4"/>
  <c r="CQ186" i="4" s="1"/>
  <c r="CQ187" i="4" s="1"/>
  <c r="CQ188" i="4" s="1"/>
  <c r="CQ189" i="4" s="1"/>
  <c r="CQ190" i="4" s="1"/>
  <c r="CQ191" i="4" s="1"/>
  <c r="CQ192" i="4" s="1"/>
  <c r="DA185" i="4"/>
  <c r="DA186" i="4" s="1"/>
  <c r="DA187" i="4" s="1"/>
  <c r="DA188" i="4" s="1"/>
  <c r="DA189" i="4" s="1"/>
  <c r="DA190" i="4" s="1"/>
  <c r="DA191" i="4" s="1"/>
  <c r="DA192" i="4" s="1"/>
  <c r="CP186" i="4"/>
  <c r="DB186" i="4"/>
  <c r="DB187" i="4" s="1"/>
  <c r="DB188" i="4" s="1"/>
  <c r="DB189" i="4" s="1"/>
  <c r="DB190" i="4" s="1"/>
  <c r="DB191" i="4" s="1"/>
  <c r="DB192" i="4" s="1"/>
  <c r="CM188" i="4"/>
  <c r="CM189" i="4" s="1"/>
  <c r="CM190" i="4" s="1"/>
  <c r="CM191" i="4" s="1"/>
  <c r="CM192" i="4" s="1"/>
  <c r="CN188" i="4"/>
  <c r="CN189" i="4" s="1"/>
  <c r="CN190" i="4" s="1"/>
  <c r="CN191" i="4" s="1"/>
  <c r="CN192" i="4" s="1"/>
  <c r="CO187" i="4"/>
  <c r="CP187" i="4"/>
  <c r="CP188" i="4" s="1"/>
  <c r="CP189" i="4" s="1"/>
  <c r="CP190" i="4" s="1"/>
  <c r="CP191" i="4" s="1"/>
  <c r="CP192" i="4" s="1"/>
  <c r="DC187" i="4"/>
  <c r="DC188" i="4" s="1"/>
  <c r="DC189" i="4" s="1"/>
  <c r="DC190" i="4" s="1"/>
  <c r="DC191" i="4" s="1"/>
  <c r="DC192" i="4" s="1"/>
  <c r="DD188" i="4"/>
  <c r="DD189" i="4" s="1"/>
  <c r="DD190" i="4" s="1"/>
  <c r="DD191" i="4" s="1"/>
  <c r="DD192" i="4" s="1"/>
  <c r="CO188" i="4"/>
  <c r="CO189" i="4" s="1"/>
  <c r="CO190" i="4" s="1"/>
  <c r="CO191" i="4" s="1"/>
  <c r="CO192" i="4" s="1"/>
  <c r="DE188" i="4"/>
  <c r="DE189" i="4" s="1"/>
  <c r="DE190" i="4" s="1"/>
  <c r="DE191" i="4" s="1"/>
  <c r="DE192" i="4" s="1"/>
  <c r="CK189" i="4"/>
  <c r="CK190" i="4" s="1"/>
  <c r="CK191" i="4" s="1"/>
  <c r="CK192" i="4" s="1"/>
  <c r="CL189" i="4"/>
  <c r="CL190" i="4" s="1"/>
  <c r="CL191" i="4" s="1"/>
  <c r="CL192" i="4" s="1"/>
  <c r="DF189" i="4"/>
  <c r="DF190" i="4" s="1"/>
  <c r="DF191" i="4" s="1"/>
  <c r="DF192" i="4" s="1"/>
  <c r="DG189" i="4"/>
  <c r="DG190" i="4" s="1"/>
  <c r="DG191" i="4" s="1"/>
  <c r="DG192" i="4" s="1"/>
  <c r="CJ190" i="4"/>
  <c r="CJ191" i="4" s="1"/>
  <c r="CJ192" i="4" s="1"/>
  <c r="DH190" i="4"/>
  <c r="DH191" i="4"/>
  <c r="DH192" i="4" s="1"/>
  <c r="DI192" i="4"/>
  <c r="CI192" i="4"/>
  <c r="CU149" i="4"/>
  <c r="CU150" i="4" s="1"/>
  <c r="CU151" i="4" s="1"/>
  <c r="CU152" i="4" s="1"/>
  <c r="CU153" i="4" s="1"/>
  <c r="CU154" i="4" s="1"/>
  <c r="CU155" i="4" s="1"/>
  <c r="CU156" i="4" s="1"/>
  <c r="CU157" i="4" s="1"/>
  <c r="CU158" i="4" s="1"/>
  <c r="CU159" i="4" s="1"/>
  <c r="CU160" i="4" s="1"/>
  <c r="CU161" i="4" s="1"/>
  <c r="CU162" i="4" s="1"/>
  <c r="CU163" i="4" s="1"/>
  <c r="CU164" i="4" s="1"/>
  <c r="CU165" i="4" s="1"/>
  <c r="CU166" i="4" s="1"/>
  <c r="CU167" i="4" s="1"/>
  <c r="CU168" i="4" s="1"/>
  <c r="CU169" i="4" s="1"/>
  <c r="CU170" i="4" s="1"/>
  <c r="CU171" i="4" s="1"/>
  <c r="CU172" i="4" s="1"/>
  <c r="CU173" i="4" s="1"/>
  <c r="CU174" i="4" s="1"/>
  <c r="CU175" i="4" s="1"/>
  <c r="CU176" i="4" s="1"/>
  <c r="CV149" i="4"/>
  <c r="CW149" i="4"/>
  <c r="CV150" i="4"/>
  <c r="CW150" i="4"/>
  <c r="CW151" i="4" s="1"/>
  <c r="CW152" i="4" s="1"/>
  <c r="CW153" i="4" s="1"/>
  <c r="CW154" i="4" s="1"/>
  <c r="CW155" i="4" s="1"/>
  <c r="CW156" i="4" s="1"/>
  <c r="CW157" i="4" s="1"/>
  <c r="CW158" i="4" s="1"/>
  <c r="CW159" i="4" s="1"/>
  <c r="CW160" i="4" s="1"/>
  <c r="CW161" i="4" s="1"/>
  <c r="CW162" i="4" s="1"/>
  <c r="CW163" i="4" s="1"/>
  <c r="CW164" i="4" s="1"/>
  <c r="CW165" i="4" s="1"/>
  <c r="CW166" i="4" s="1"/>
  <c r="CW167" i="4" s="1"/>
  <c r="CW168" i="4" s="1"/>
  <c r="CW169" i="4" s="1"/>
  <c r="CW170" i="4" s="1"/>
  <c r="CW171" i="4" s="1"/>
  <c r="CW172" i="4" s="1"/>
  <c r="CW173" i="4" s="1"/>
  <c r="CW174" i="4" s="1"/>
  <c r="CW175" i="4" s="1"/>
  <c r="CW176" i="4" s="1"/>
  <c r="CV151" i="4"/>
  <c r="CV152" i="4" s="1"/>
  <c r="CV153" i="4" s="1"/>
  <c r="CV154" i="4" s="1"/>
  <c r="CV155" i="4" s="1"/>
  <c r="CV156" i="4" s="1"/>
  <c r="CV157" i="4" s="1"/>
  <c r="CV158" i="4" s="1"/>
  <c r="CV159" i="4" s="1"/>
  <c r="CV160" i="4" s="1"/>
  <c r="CV161" i="4" s="1"/>
  <c r="CV162" i="4" s="1"/>
  <c r="CV163" i="4" s="1"/>
  <c r="CV164" i="4" s="1"/>
  <c r="CV165" i="4" s="1"/>
  <c r="CV166" i="4" s="1"/>
  <c r="CV167" i="4" s="1"/>
  <c r="CV168" i="4" s="1"/>
  <c r="CV169" i="4" s="1"/>
  <c r="CV170" i="4" s="1"/>
  <c r="CV171" i="4" s="1"/>
  <c r="CV172" i="4" s="1"/>
  <c r="CV173" i="4" s="1"/>
  <c r="CV174" i="4" s="1"/>
  <c r="CV175" i="4" s="1"/>
  <c r="CV176" i="4" s="1"/>
  <c r="CT147" i="4"/>
  <c r="CT148" i="4" s="1"/>
  <c r="CU147" i="4"/>
  <c r="CU148" i="4" s="1"/>
  <c r="CV147" i="4"/>
  <c r="CW147" i="4"/>
  <c r="CX147" i="4"/>
  <c r="CX148" i="4" s="1"/>
  <c r="CV148" i="4"/>
  <c r="CW148" i="4"/>
  <c r="CS146" i="4"/>
  <c r="CT146" i="4"/>
  <c r="CU146" i="4"/>
  <c r="CV146" i="4"/>
  <c r="CW146" i="4"/>
  <c r="CX146" i="4"/>
  <c r="CY146" i="4"/>
  <c r="CR145" i="4"/>
  <c r="CS145" i="4"/>
  <c r="CT145" i="4"/>
  <c r="CU145" i="4"/>
  <c r="CV145" i="4"/>
  <c r="CW145" i="4"/>
  <c r="CX145" i="4"/>
  <c r="CY145" i="4"/>
  <c r="CZ145" i="4"/>
  <c r="CQ143" i="4"/>
  <c r="CQ144" i="4" s="1"/>
  <c r="CR143" i="4"/>
  <c r="CS143" i="4"/>
  <c r="CT143" i="4"/>
  <c r="CU143" i="4"/>
  <c r="CV143" i="4"/>
  <c r="CW143" i="4"/>
  <c r="CX143" i="4"/>
  <c r="CX144" i="4" s="1"/>
  <c r="CY143" i="4"/>
  <c r="CY144" i="4" s="1"/>
  <c r="CZ143" i="4"/>
  <c r="DA143" i="4"/>
  <c r="CR144" i="4"/>
  <c r="CS144" i="4"/>
  <c r="CT144" i="4"/>
  <c r="CU144" i="4"/>
  <c r="CV144" i="4"/>
  <c r="CW144" i="4"/>
  <c r="CZ144" i="4"/>
  <c r="DA144" i="4"/>
  <c r="CP140" i="4"/>
  <c r="CP141" i="4" s="1"/>
  <c r="CP142" i="4" s="1"/>
  <c r="CQ140" i="4"/>
  <c r="CQ141" i="4" s="1"/>
  <c r="CQ142" i="4" s="1"/>
  <c r="CR140" i="4"/>
  <c r="CS140" i="4"/>
  <c r="CT140" i="4"/>
  <c r="CU140" i="4"/>
  <c r="CU141" i="4" s="1"/>
  <c r="CU142" i="4" s="1"/>
  <c r="CV140" i="4"/>
  <c r="CW140" i="4"/>
  <c r="CW141" i="4" s="1"/>
  <c r="CW142" i="4" s="1"/>
  <c r="CX140" i="4"/>
  <c r="CX141" i="4" s="1"/>
  <c r="CX142" i="4" s="1"/>
  <c r="CY140" i="4"/>
  <c r="CY141" i="4" s="1"/>
  <c r="CY142" i="4" s="1"/>
  <c r="CZ140" i="4"/>
  <c r="DA140" i="4"/>
  <c r="DB140" i="4"/>
  <c r="CR141" i="4"/>
  <c r="CR142" i="4" s="1"/>
  <c r="CS141" i="4"/>
  <c r="CS142" i="4" s="1"/>
  <c r="CT141" i="4"/>
  <c r="CT142" i="4" s="1"/>
  <c r="CV141" i="4"/>
  <c r="CZ141" i="4"/>
  <c r="CZ142" i="4" s="1"/>
  <c r="DA141" i="4"/>
  <c r="DA142" i="4" s="1"/>
  <c r="DB141" i="4"/>
  <c r="DB142" i="4" s="1"/>
  <c r="CV142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CP139" i="4"/>
  <c r="DC122" i="4"/>
  <c r="DB121" i="4"/>
  <c r="DB122" i="4"/>
  <c r="DA120" i="4"/>
  <c r="DA121" i="4"/>
  <c r="DA122" i="4"/>
  <c r="CZ118" i="4"/>
  <c r="CZ119" i="4"/>
  <c r="CZ120" i="4"/>
  <c r="CZ121" i="4"/>
  <c r="CZ122" i="4"/>
  <c r="CY116" i="4"/>
  <c r="CY117" i="4"/>
  <c r="CY118" i="4"/>
  <c r="CY119" i="4"/>
  <c r="CY120" i="4"/>
  <c r="CY121" i="4"/>
  <c r="CY122" i="4"/>
  <c r="CX113" i="4"/>
  <c r="CX114" i="4"/>
  <c r="CX115" i="4"/>
  <c r="CX116" i="4"/>
  <c r="CX117" i="4"/>
  <c r="CX118" i="4"/>
  <c r="CX119" i="4"/>
  <c r="CX120" i="4"/>
  <c r="CX121" i="4"/>
  <c r="CX122" i="4"/>
  <c r="CR120" i="4"/>
  <c r="CS120" i="4" s="1"/>
  <c r="CT120" i="4" s="1"/>
  <c r="CU120" i="4" s="1"/>
  <c r="CV120" i="4" s="1"/>
  <c r="CW120" i="4" s="1"/>
  <c r="CQ121" i="4"/>
  <c r="CR121" i="4" s="1"/>
  <c r="CS121" i="4" s="1"/>
  <c r="CT121" i="4" s="1"/>
  <c r="CU121" i="4" s="1"/>
  <c r="CV121" i="4" s="1"/>
  <c r="CW121" i="4" s="1"/>
  <c r="CS118" i="4"/>
  <c r="CT118" i="4" s="1"/>
  <c r="CU118" i="4" s="1"/>
  <c r="CV118" i="4" s="1"/>
  <c r="CW118" i="4" s="1"/>
  <c r="CS119" i="4"/>
  <c r="CT119" i="4" s="1"/>
  <c r="CU119" i="4" s="1"/>
  <c r="CV119" i="4" s="1"/>
  <c r="CW119" i="4" s="1"/>
  <c r="CT116" i="4"/>
  <c r="CT117" i="4"/>
  <c r="CU117" i="4" s="1"/>
  <c r="CV117" i="4" s="1"/>
  <c r="CW117" i="4" s="1"/>
  <c r="CP122" i="4"/>
  <c r="CQ122" i="4" s="1"/>
  <c r="CR122" i="4" s="1"/>
  <c r="CS122" i="4" s="1"/>
  <c r="CT122" i="4" s="1"/>
  <c r="CU122" i="4" s="1"/>
  <c r="CV122" i="4" s="1"/>
  <c r="CW122" i="4" s="1"/>
  <c r="CN123" i="4"/>
  <c r="CO123" i="4" s="1"/>
  <c r="CP123" i="4" s="1"/>
  <c r="CQ123" i="4" s="1"/>
  <c r="CR123" i="4" s="1"/>
  <c r="CS123" i="4" s="1"/>
  <c r="CT123" i="4" s="1"/>
  <c r="CU123" i="4" s="1"/>
  <c r="CV123" i="4" s="1"/>
  <c r="CW123" i="4" s="1"/>
  <c r="CX123" i="4" s="1"/>
  <c r="CY123" i="4" s="1"/>
  <c r="CZ123" i="4" s="1"/>
  <c r="DA123" i="4" s="1"/>
  <c r="DB123" i="4" s="1"/>
  <c r="DC123" i="4" s="1"/>
  <c r="DD123" i="4" s="1"/>
  <c r="DE123" i="4" s="1"/>
  <c r="CL124" i="4"/>
  <c r="CM124" i="4" s="1"/>
  <c r="CN124" i="4" s="1"/>
  <c r="CO124" i="4" s="1"/>
  <c r="CP124" i="4" s="1"/>
  <c r="CQ124" i="4" s="1"/>
  <c r="CR124" i="4" s="1"/>
  <c r="CS124" i="4" s="1"/>
  <c r="CT124" i="4" s="1"/>
  <c r="CU124" i="4" s="1"/>
  <c r="CV124" i="4" s="1"/>
  <c r="CW124" i="4" s="1"/>
  <c r="CX124" i="4" s="1"/>
  <c r="CY124" i="4" s="1"/>
  <c r="CZ124" i="4" s="1"/>
  <c r="DA124" i="4" s="1"/>
  <c r="DB124" i="4" s="1"/>
  <c r="DC124" i="4" s="1"/>
  <c r="DD124" i="4" s="1"/>
  <c r="DE124" i="4" s="1"/>
  <c r="DF124" i="4" s="1"/>
  <c r="DG124" i="4" s="1"/>
  <c r="CK125" i="4"/>
  <c r="CL125" i="4" s="1"/>
  <c r="CM125" i="4" s="1"/>
  <c r="CN125" i="4" s="1"/>
  <c r="CO125" i="4" s="1"/>
  <c r="CP125" i="4" s="1"/>
  <c r="CQ125" i="4" s="1"/>
  <c r="CR125" i="4" s="1"/>
  <c r="CS125" i="4" s="1"/>
  <c r="CT125" i="4" s="1"/>
  <c r="CU125" i="4" s="1"/>
  <c r="CV125" i="4" s="1"/>
  <c r="CW125" i="4" s="1"/>
  <c r="CX125" i="4" s="1"/>
  <c r="CY125" i="4" s="1"/>
  <c r="CZ125" i="4" s="1"/>
  <c r="DA125" i="4" s="1"/>
  <c r="DB125" i="4" s="1"/>
  <c r="DC125" i="4" s="1"/>
  <c r="DD125" i="4" s="1"/>
  <c r="DE125" i="4" s="1"/>
  <c r="DF125" i="4" s="1"/>
  <c r="DG125" i="4" s="1"/>
  <c r="DH125" i="4" s="1"/>
  <c r="CK126" i="4"/>
  <c r="CL126" i="4" s="1"/>
  <c r="CM126" i="4" s="1"/>
  <c r="CN126" i="4" s="1"/>
  <c r="CO126" i="4" s="1"/>
  <c r="CP126" i="4" s="1"/>
  <c r="CQ126" i="4" s="1"/>
  <c r="CR126" i="4" s="1"/>
  <c r="CS126" i="4" s="1"/>
  <c r="CT126" i="4" s="1"/>
  <c r="CU126" i="4" s="1"/>
  <c r="CV126" i="4" s="1"/>
  <c r="CW126" i="4" s="1"/>
  <c r="CX126" i="4" s="1"/>
  <c r="CY126" i="4" s="1"/>
  <c r="CZ126" i="4" s="1"/>
  <c r="DA126" i="4" s="1"/>
  <c r="DB126" i="4" s="1"/>
  <c r="DC126" i="4" s="1"/>
  <c r="DD126" i="4" s="1"/>
  <c r="DE126" i="4" s="1"/>
  <c r="DF126" i="4" s="1"/>
  <c r="DG126" i="4" s="1"/>
  <c r="DH126" i="4" s="1"/>
  <c r="CJ127" i="4"/>
  <c r="CK127" i="4" s="1"/>
  <c r="CL127" i="4" s="1"/>
  <c r="CM127" i="4" s="1"/>
  <c r="CN127" i="4" s="1"/>
  <c r="CO127" i="4" s="1"/>
  <c r="CP127" i="4" s="1"/>
  <c r="CQ127" i="4" s="1"/>
  <c r="CR127" i="4" s="1"/>
  <c r="CS127" i="4" s="1"/>
  <c r="CT127" i="4" s="1"/>
  <c r="CU127" i="4" s="1"/>
  <c r="CV127" i="4" s="1"/>
  <c r="CW127" i="4" s="1"/>
  <c r="CX127" i="4" s="1"/>
  <c r="CY127" i="4" s="1"/>
  <c r="CZ127" i="4" s="1"/>
  <c r="DA127" i="4" s="1"/>
  <c r="DB127" i="4" s="1"/>
  <c r="DC127" i="4" s="1"/>
  <c r="DD127" i="4" s="1"/>
  <c r="DE127" i="4" s="1"/>
  <c r="DF127" i="4" s="1"/>
  <c r="DG127" i="4" s="1"/>
  <c r="DH127" i="4" s="1"/>
  <c r="DI127" i="4" s="1"/>
  <c r="CJ128" i="4"/>
  <c r="CK128" i="4" s="1"/>
  <c r="CL128" i="4" s="1"/>
  <c r="CM128" i="4" s="1"/>
  <c r="CN128" i="4" s="1"/>
  <c r="CO128" i="4" s="1"/>
  <c r="CP128" i="4" s="1"/>
  <c r="CQ128" i="4" s="1"/>
  <c r="CR128" i="4" s="1"/>
  <c r="CS128" i="4" s="1"/>
  <c r="CT128" i="4" s="1"/>
  <c r="CU128" i="4" s="1"/>
  <c r="CV128" i="4" s="1"/>
  <c r="CW128" i="4" s="1"/>
  <c r="CX128" i="4" s="1"/>
  <c r="CY128" i="4" s="1"/>
  <c r="CZ128" i="4" s="1"/>
  <c r="DA128" i="4" s="1"/>
  <c r="DB128" i="4" s="1"/>
  <c r="DC128" i="4" s="1"/>
  <c r="DD128" i="4" s="1"/>
  <c r="DE128" i="4" s="1"/>
  <c r="DF128" i="4" s="1"/>
  <c r="DG128" i="4" s="1"/>
  <c r="DH128" i="4" s="1"/>
  <c r="DI128" i="4" s="1"/>
  <c r="CU85" i="4"/>
  <c r="CV85" i="4" s="1"/>
  <c r="CW85" i="4" s="1"/>
  <c r="CU86" i="4"/>
  <c r="CV86" i="4" s="1"/>
  <c r="CW86" i="4" s="1"/>
  <c r="CU87" i="4"/>
  <c r="CV87" i="4"/>
  <c r="CW87" i="4" s="1"/>
  <c r="CU88" i="4"/>
  <c r="CV88" i="4" s="1"/>
  <c r="CW88" i="4" s="1"/>
  <c r="CU89" i="4"/>
  <c r="CV89" i="4"/>
  <c r="CW89" i="4"/>
  <c r="CU90" i="4"/>
  <c r="CV90" i="4" s="1"/>
  <c r="CW90" i="4" s="1"/>
  <c r="CU91" i="4"/>
  <c r="CV91" i="4" s="1"/>
  <c r="CW91" i="4" s="1"/>
  <c r="CU92" i="4"/>
  <c r="CV92" i="4"/>
  <c r="CW92" i="4"/>
  <c r="CU93" i="4"/>
  <c r="CV93" i="4" s="1"/>
  <c r="CW93" i="4" s="1"/>
  <c r="CU94" i="4"/>
  <c r="CV94" i="4" s="1"/>
  <c r="CW94" i="4" s="1"/>
  <c r="CU95" i="4"/>
  <c r="CV95" i="4"/>
  <c r="CW95" i="4" s="1"/>
  <c r="CU96" i="4"/>
  <c r="CV96" i="4" s="1"/>
  <c r="CW96" i="4" s="1"/>
  <c r="CU97" i="4"/>
  <c r="CV97" i="4"/>
  <c r="CW97" i="4"/>
  <c r="CU98" i="4"/>
  <c r="CV98" i="4" s="1"/>
  <c r="CW98" i="4" s="1"/>
  <c r="CU99" i="4"/>
  <c r="CV99" i="4" s="1"/>
  <c r="CW99" i="4" s="1"/>
  <c r="CU100" i="4"/>
  <c r="CV100" i="4"/>
  <c r="CW100" i="4"/>
  <c r="CU101" i="4"/>
  <c r="CV101" i="4" s="1"/>
  <c r="CW101" i="4" s="1"/>
  <c r="CU102" i="4"/>
  <c r="CV102" i="4" s="1"/>
  <c r="CW102" i="4" s="1"/>
  <c r="CU103" i="4"/>
  <c r="CV103" i="4"/>
  <c r="CW103" i="4" s="1"/>
  <c r="CU104" i="4"/>
  <c r="CV104" i="4"/>
  <c r="CW104" i="4" s="1"/>
  <c r="CU105" i="4"/>
  <c r="CV105" i="4"/>
  <c r="CW105" i="4"/>
  <c r="CU106" i="4"/>
  <c r="CV106" i="4" s="1"/>
  <c r="CW106" i="4" s="1"/>
  <c r="CU107" i="4"/>
  <c r="CV107" i="4" s="1"/>
  <c r="CW107" i="4" s="1"/>
  <c r="CU108" i="4"/>
  <c r="CV108" i="4"/>
  <c r="CW108" i="4"/>
  <c r="CU109" i="4"/>
  <c r="CV109" i="4" s="1"/>
  <c r="CW109" i="4" s="1"/>
  <c r="CU110" i="4"/>
  <c r="CV110" i="4" s="1"/>
  <c r="CW110" i="4" s="1"/>
  <c r="CU111" i="4"/>
  <c r="CV111" i="4"/>
  <c r="CW111" i="4" s="1"/>
  <c r="CU112" i="4"/>
  <c r="CV112" i="4"/>
  <c r="CW112" i="4" s="1"/>
  <c r="CU113" i="4"/>
  <c r="CV113" i="4"/>
  <c r="CW113" i="4" s="1"/>
  <c r="CU114" i="4"/>
  <c r="CV114" i="4" s="1"/>
  <c r="CW114" i="4" s="1"/>
  <c r="CU115" i="4"/>
  <c r="CV115" i="4" s="1"/>
  <c r="CW115" i="4" s="1"/>
  <c r="CU116" i="4"/>
  <c r="CV116" i="4" s="1"/>
  <c r="CW116" i="4" s="1"/>
  <c r="CU83" i="4"/>
  <c r="CV83" i="4" s="1"/>
  <c r="CW83" i="4" s="1"/>
  <c r="CX83" i="4" s="1"/>
  <c r="CU84" i="4"/>
  <c r="CV84" i="4"/>
  <c r="CW84" i="4" s="1"/>
  <c r="CX84" i="4" s="1"/>
  <c r="CT82" i="4"/>
  <c r="CU82" i="4" s="1"/>
  <c r="CV82" i="4" s="1"/>
  <c r="CW82" i="4" s="1"/>
  <c r="CX82" i="4" s="1"/>
  <c r="CY82" i="4" s="1"/>
  <c r="CU81" i="4"/>
  <c r="CV81" i="4"/>
  <c r="CW81" i="4" s="1"/>
  <c r="CX81" i="4" s="1"/>
  <c r="CY81" i="4" s="1"/>
  <c r="CS81" i="4"/>
  <c r="CT81" i="4"/>
  <c r="CR79" i="4"/>
  <c r="CS79" i="4"/>
  <c r="CT79" i="4" s="1"/>
  <c r="CU79" i="4" s="1"/>
  <c r="CV79" i="4" s="1"/>
  <c r="CW79" i="4" s="1"/>
  <c r="CX79" i="4" s="1"/>
  <c r="CY79" i="4" s="1"/>
  <c r="CZ79" i="4" s="1"/>
  <c r="DA79" i="4" s="1"/>
  <c r="CR80" i="4"/>
  <c r="CS80" i="4"/>
  <c r="CT80" i="4" s="1"/>
  <c r="CU80" i="4" s="1"/>
  <c r="CV80" i="4" s="1"/>
  <c r="CW80" i="4" s="1"/>
  <c r="CX80" i="4" s="1"/>
  <c r="CY80" i="4" s="1"/>
  <c r="CZ80" i="4" s="1"/>
  <c r="DA80" i="4" s="1"/>
  <c r="CR75" i="4"/>
  <c r="CS75" i="4" s="1"/>
  <c r="CT75" i="4" s="1"/>
  <c r="CU75" i="4" s="1"/>
  <c r="CV75" i="4" s="1"/>
  <c r="CW75" i="4" s="1"/>
  <c r="CX75" i="4" s="1"/>
  <c r="CY75" i="4" s="1"/>
  <c r="CZ75" i="4" s="1"/>
  <c r="DA75" i="4" s="1"/>
  <c r="DB75" i="4" s="1"/>
  <c r="CR76" i="4"/>
  <c r="CS76" i="4" s="1"/>
  <c r="CT76" i="4" s="1"/>
  <c r="CU76" i="4" s="1"/>
  <c r="CV76" i="4" s="1"/>
  <c r="CW76" i="4" s="1"/>
  <c r="CX76" i="4" s="1"/>
  <c r="CY76" i="4" s="1"/>
  <c r="CZ76" i="4" s="1"/>
  <c r="DA76" i="4" s="1"/>
  <c r="DB76" i="4" s="1"/>
  <c r="CR77" i="4"/>
  <c r="CS77" i="4"/>
  <c r="CT77" i="4"/>
  <c r="CU77" i="4" s="1"/>
  <c r="CV77" i="4" s="1"/>
  <c r="CW77" i="4" s="1"/>
  <c r="CX77" i="4" s="1"/>
  <c r="CY77" i="4" s="1"/>
  <c r="CZ77" i="4" s="1"/>
  <c r="DA77" i="4" s="1"/>
  <c r="DB77" i="4" s="1"/>
  <c r="CR78" i="4"/>
  <c r="CS78" i="4" s="1"/>
  <c r="CT78" i="4" s="1"/>
  <c r="CU78" i="4" s="1"/>
  <c r="CV78" i="4" s="1"/>
  <c r="CW78" i="4" s="1"/>
  <c r="CX78" i="4" s="1"/>
  <c r="CY78" i="4" s="1"/>
  <c r="CZ78" i="4" s="1"/>
  <c r="DA78" i="4" s="1"/>
  <c r="DB78" i="4" s="1"/>
  <c r="CQ76" i="4"/>
  <c r="CQ77" i="4"/>
  <c r="CQ78" i="4"/>
  <c r="CQ75" i="4"/>
  <c r="BH113" i="4"/>
  <c r="BI113" i="4"/>
  <c r="BJ113" i="4"/>
  <c r="BH114" i="4"/>
  <c r="BI114" i="4"/>
  <c r="BJ114" i="4"/>
  <c r="BH115" i="4"/>
  <c r="BI115" i="4"/>
  <c r="BJ115" i="4"/>
  <c r="BG116" i="4"/>
  <c r="BH116" i="4"/>
  <c r="BI116" i="4"/>
  <c r="BJ116" i="4"/>
  <c r="BK116" i="4"/>
  <c r="BG117" i="4"/>
  <c r="BH117" i="4"/>
  <c r="BI117" i="4"/>
  <c r="BJ117" i="4"/>
  <c r="BK117" i="4"/>
  <c r="BF118" i="4"/>
  <c r="BG118" i="4"/>
  <c r="BH118" i="4"/>
  <c r="BI118" i="4"/>
  <c r="BJ118" i="4"/>
  <c r="BK118" i="4"/>
  <c r="BL118" i="4"/>
  <c r="BF119" i="4"/>
  <c r="BG119" i="4"/>
  <c r="BH119" i="4"/>
  <c r="BI119" i="4"/>
  <c r="BJ119" i="4"/>
  <c r="BK119" i="4"/>
  <c r="BL119" i="4"/>
  <c r="BE120" i="4"/>
  <c r="BF120" i="4"/>
  <c r="BG120" i="4"/>
  <c r="BH120" i="4"/>
  <c r="BI120" i="4"/>
  <c r="BJ120" i="4"/>
  <c r="BK120" i="4"/>
  <c r="BL120" i="4"/>
  <c r="BM120" i="4"/>
  <c r="BD121" i="4"/>
  <c r="BE121" i="4"/>
  <c r="BF121" i="4"/>
  <c r="BG121" i="4"/>
  <c r="BH121" i="4"/>
  <c r="BI121" i="4"/>
  <c r="BJ121" i="4"/>
  <c r="BK121" i="4"/>
  <c r="BL121" i="4"/>
  <c r="BM121" i="4"/>
  <c r="BN121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AX125" i="4"/>
  <c r="BS125" i="4"/>
  <c r="BT125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28" i="4"/>
  <c r="BH83" i="4"/>
  <c r="BI83" i="4"/>
  <c r="BJ83" i="4"/>
  <c r="BH84" i="4"/>
  <c r="BI84" i="4"/>
  <c r="BJ84" i="4"/>
  <c r="BK82" i="4"/>
  <c r="BH82" i="4"/>
  <c r="BI82" i="4"/>
  <c r="BJ82" i="4"/>
  <c r="BG82" i="4"/>
  <c r="BF81" i="4"/>
  <c r="BG81" i="4"/>
  <c r="BH81" i="4"/>
  <c r="BI81" i="4"/>
  <c r="BJ81" i="4"/>
  <c r="BK81" i="4"/>
  <c r="BL81" i="4"/>
  <c r="BE79" i="4"/>
  <c r="BF79" i="4"/>
  <c r="BG79" i="4"/>
  <c r="BH79" i="4"/>
  <c r="BI79" i="4"/>
  <c r="BJ79" i="4"/>
  <c r="BK79" i="4"/>
  <c r="BL79" i="4"/>
  <c r="BM79" i="4"/>
  <c r="BE80" i="4"/>
  <c r="BF80" i="4"/>
  <c r="BG80" i="4"/>
  <c r="BH80" i="4"/>
  <c r="BI80" i="4"/>
  <c r="BJ80" i="4"/>
  <c r="BK80" i="4"/>
  <c r="BL80" i="4"/>
  <c r="BM80" i="4"/>
  <c r="BD76" i="4"/>
  <c r="BE76" i="4"/>
  <c r="BF76" i="4"/>
  <c r="BG76" i="4"/>
  <c r="BH76" i="4"/>
  <c r="BI76" i="4"/>
  <c r="BJ76" i="4"/>
  <c r="BK76" i="4"/>
  <c r="BL76" i="4"/>
  <c r="BM76" i="4"/>
  <c r="BN76" i="4"/>
  <c r="BD77" i="4"/>
  <c r="BE77" i="4"/>
  <c r="BF77" i="4"/>
  <c r="BG77" i="4"/>
  <c r="BH77" i="4"/>
  <c r="BI77" i="4"/>
  <c r="BJ77" i="4"/>
  <c r="BK77" i="4"/>
  <c r="BL77" i="4"/>
  <c r="BM77" i="4"/>
  <c r="BN77" i="4"/>
  <c r="BD78" i="4"/>
  <c r="BE78" i="4"/>
  <c r="BF78" i="4"/>
  <c r="BG78" i="4"/>
  <c r="BH78" i="4"/>
  <c r="BI78" i="4"/>
  <c r="BJ78" i="4"/>
  <c r="BK78" i="4"/>
  <c r="BL78" i="4"/>
  <c r="BM78" i="4"/>
  <c r="BN78" i="4"/>
  <c r="BE75" i="4"/>
  <c r="BF75" i="4"/>
  <c r="BG75" i="4"/>
  <c r="BH75" i="4"/>
  <c r="BI75" i="4"/>
  <c r="BJ75" i="4"/>
  <c r="BK75" i="4"/>
  <c r="BL75" i="4"/>
  <c r="BM75" i="4"/>
  <c r="BN75" i="4"/>
  <c r="BD75" i="4"/>
  <c r="Q56" i="4"/>
  <c r="EY192" i="4"/>
  <c r="EX192" i="4"/>
  <c r="DV192" i="4"/>
  <c r="DU192" i="4"/>
  <c r="DK192" i="4"/>
  <c r="DJ192" i="4"/>
  <c r="CH192" i="4"/>
  <c r="CG192" i="4"/>
  <c r="BX192" i="4"/>
  <c r="BW192" i="4"/>
  <c r="AU192" i="4"/>
  <c r="AT192" i="4"/>
  <c r="AK192" i="4"/>
  <c r="AJ192" i="4"/>
  <c r="H192" i="4"/>
  <c r="G192" i="4"/>
  <c r="EY191" i="4"/>
  <c r="EX191" i="4"/>
  <c r="DV191" i="4"/>
  <c r="DU191" i="4"/>
  <c r="DK191" i="4"/>
  <c r="DJ191" i="4"/>
  <c r="CH191" i="4"/>
  <c r="CG191" i="4"/>
  <c r="BX191" i="4"/>
  <c r="BW191" i="4"/>
  <c r="AU191" i="4"/>
  <c r="AT191" i="4"/>
  <c r="AK191" i="4"/>
  <c r="AJ191" i="4"/>
  <c r="H191" i="4"/>
  <c r="G191" i="4"/>
  <c r="EY190" i="4"/>
  <c r="EX190" i="4"/>
  <c r="EW190" i="4"/>
  <c r="DW190" i="4"/>
  <c r="DV190" i="4"/>
  <c r="DU190" i="4"/>
  <c r="DK190" i="4"/>
  <c r="DJ190" i="4"/>
  <c r="DI190" i="4"/>
  <c r="CI190" i="4"/>
  <c r="CH190" i="4"/>
  <c r="CG190" i="4"/>
  <c r="BX190" i="4"/>
  <c r="BW190" i="4"/>
  <c r="BV190" i="4"/>
  <c r="AV190" i="4"/>
  <c r="AU190" i="4"/>
  <c r="AT190" i="4"/>
  <c r="AK190" i="4"/>
  <c r="AJ190" i="4"/>
  <c r="AI190" i="4"/>
  <c r="I190" i="4"/>
  <c r="H190" i="4"/>
  <c r="G190" i="4"/>
  <c r="EY189" i="4"/>
  <c r="EX189" i="4"/>
  <c r="EW189" i="4"/>
  <c r="DW189" i="4"/>
  <c r="DV189" i="4"/>
  <c r="DU189" i="4"/>
  <c r="DK189" i="4"/>
  <c r="DJ189" i="4"/>
  <c r="DI189" i="4"/>
  <c r="CI189" i="4"/>
  <c r="CH189" i="4"/>
  <c r="CG189" i="4"/>
  <c r="BX189" i="4"/>
  <c r="BW189" i="4"/>
  <c r="BV189" i="4"/>
  <c r="AV189" i="4"/>
  <c r="AU189" i="4"/>
  <c r="AT189" i="4"/>
  <c r="AK189" i="4"/>
  <c r="AJ189" i="4"/>
  <c r="AI189" i="4"/>
  <c r="I189" i="4"/>
  <c r="H189" i="4"/>
  <c r="G189" i="4"/>
  <c r="EY188" i="4"/>
  <c r="EX188" i="4"/>
  <c r="EW188" i="4"/>
  <c r="EV188" i="4"/>
  <c r="DX188" i="4"/>
  <c r="DW188" i="4"/>
  <c r="DV188" i="4"/>
  <c r="DU188" i="4"/>
  <c r="DK188" i="4"/>
  <c r="DJ188" i="4"/>
  <c r="DI188" i="4"/>
  <c r="DH188" i="4"/>
  <c r="CJ188" i="4"/>
  <c r="CI188" i="4"/>
  <c r="CH188" i="4"/>
  <c r="CG188" i="4"/>
  <c r="BX188" i="4"/>
  <c r="BW188" i="4"/>
  <c r="BV188" i="4"/>
  <c r="BU188" i="4"/>
  <c r="AW188" i="4"/>
  <c r="AV188" i="4"/>
  <c r="AU188" i="4"/>
  <c r="AT188" i="4"/>
  <c r="AK188" i="4"/>
  <c r="AJ188" i="4"/>
  <c r="AI188" i="4"/>
  <c r="AH188" i="4"/>
  <c r="J188" i="4"/>
  <c r="I188" i="4"/>
  <c r="H188" i="4"/>
  <c r="G188" i="4"/>
  <c r="EY187" i="4"/>
  <c r="EX187" i="4"/>
  <c r="EW187" i="4"/>
  <c r="EV187" i="4"/>
  <c r="EU187" i="4"/>
  <c r="ET187" i="4"/>
  <c r="DZ187" i="4"/>
  <c r="DY187" i="4"/>
  <c r="DX187" i="4"/>
  <c r="DW187" i="4"/>
  <c r="DV187" i="4"/>
  <c r="DU187" i="4"/>
  <c r="DK187" i="4"/>
  <c r="DJ187" i="4"/>
  <c r="DI187" i="4"/>
  <c r="DH187" i="4"/>
  <c r="DG187" i="4"/>
  <c r="DF187" i="4"/>
  <c r="CL187" i="4"/>
  <c r="CK187" i="4"/>
  <c r="CJ187" i="4"/>
  <c r="CI187" i="4"/>
  <c r="CH187" i="4"/>
  <c r="CG187" i="4"/>
  <c r="BX187" i="4"/>
  <c r="BW187" i="4"/>
  <c r="BV187" i="4"/>
  <c r="BU187" i="4"/>
  <c r="BT187" i="4"/>
  <c r="BS187" i="4"/>
  <c r="AY187" i="4"/>
  <c r="AX187" i="4"/>
  <c r="AW187" i="4"/>
  <c r="AV187" i="4"/>
  <c r="AU187" i="4"/>
  <c r="AT187" i="4"/>
  <c r="AK187" i="4"/>
  <c r="AJ187" i="4"/>
  <c r="AI187" i="4"/>
  <c r="AH187" i="4"/>
  <c r="AG187" i="4"/>
  <c r="AF187" i="4"/>
  <c r="L187" i="4"/>
  <c r="K187" i="4"/>
  <c r="J187" i="4"/>
  <c r="I187" i="4"/>
  <c r="H187" i="4"/>
  <c r="G187" i="4"/>
  <c r="EY186" i="4"/>
  <c r="EX186" i="4"/>
  <c r="EW186" i="4"/>
  <c r="EV186" i="4"/>
  <c r="EU186" i="4"/>
  <c r="ET186" i="4"/>
  <c r="ES186" i="4"/>
  <c r="ER186" i="4"/>
  <c r="EB186" i="4"/>
  <c r="EA186" i="4"/>
  <c r="DZ186" i="4"/>
  <c r="DY186" i="4"/>
  <c r="DX186" i="4"/>
  <c r="DW186" i="4"/>
  <c r="DV186" i="4"/>
  <c r="DU186" i="4"/>
  <c r="DK186" i="4"/>
  <c r="DJ186" i="4"/>
  <c r="DI186" i="4"/>
  <c r="DH186" i="4"/>
  <c r="DG186" i="4"/>
  <c r="DF186" i="4"/>
  <c r="DE186" i="4"/>
  <c r="DD186" i="4"/>
  <c r="CN186" i="4"/>
  <c r="CM186" i="4"/>
  <c r="CL186" i="4"/>
  <c r="CK186" i="4"/>
  <c r="CJ186" i="4"/>
  <c r="CI186" i="4"/>
  <c r="CH186" i="4"/>
  <c r="CG186" i="4"/>
  <c r="BX186" i="4"/>
  <c r="BW186" i="4"/>
  <c r="BV186" i="4"/>
  <c r="BU186" i="4"/>
  <c r="BT186" i="4"/>
  <c r="BS186" i="4"/>
  <c r="BR186" i="4"/>
  <c r="BQ186" i="4"/>
  <c r="BA186" i="4"/>
  <c r="AZ186" i="4"/>
  <c r="AY186" i="4"/>
  <c r="AX186" i="4"/>
  <c r="AW186" i="4"/>
  <c r="AV186" i="4"/>
  <c r="AU186" i="4"/>
  <c r="AT186" i="4"/>
  <c r="AK186" i="4"/>
  <c r="AJ186" i="4"/>
  <c r="AI186" i="4"/>
  <c r="AH186" i="4"/>
  <c r="AG186" i="4"/>
  <c r="AF186" i="4"/>
  <c r="AE186" i="4"/>
  <c r="AD186" i="4"/>
  <c r="N186" i="4"/>
  <c r="M186" i="4"/>
  <c r="L186" i="4"/>
  <c r="K186" i="4"/>
  <c r="J186" i="4"/>
  <c r="I186" i="4"/>
  <c r="H186" i="4"/>
  <c r="G186" i="4"/>
  <c r="EY185" i="4"/>
  <c r="EX185" i="4"/>
  <c r="EW185" i="4"/>
  <c r="EV185" i="4"/>
  <c r="EU185" i="4"/>
  <c r="ET185" i="4"/>
  <c r="ES185" i="4"/>
  <c r="ER185" i="4"/>
  <c r="EQ185" i="4"/>
  <c r="EC185" i="4"/>
  <c r="EB185" i="4"/>
  <c r="EA185" i="4"/>
  <c r="DZ185" i="4"/>
  <c r="DY185" i="4"/>
  <c r="DX185" i="4"/>
  <c r="DW185" i="4"/>
  <c r="DV185" i="4"/>
  <c r="DU185" i="4"/>
  <c r="DK185" i="4"/>
  <c r="DJ185" i="4"/>
  <c r="DI185" i="4"/>
  <c r="DH185" i="4"/>
  <c r="DG185" i="4"/>
  <c r="DF185" i="4"/>
  <c r="DE185" i="4"/>
  <c r="DD185" i="4"/>
  <c r="DC185" i="4"/>
  <c r="CO185" i="4"/>
  <c r="CN185" i="4"/>
  <c r="CM185" i="4"/>
  <c r="CL185" i="4"/>
  <c r="CK185" i="4"/>
  <c r="CJ185" i="4"/>
  <c r="CI185" i="4"/>
  <c r="CH185" i="4"/>
  <c r="CG185" i="4"/>
  <c r="BX185" i="4"/>
  <c r="BW185" i="4"/>
  <c r="BV185" i="4"/>
  <c r="BU185" i="4"/>
  <c r="BT185" i="4"/>
  <c r="BS185" i="4"/>
  <c r="BR185" i="4"/>
  <c r="BQ185" i="4"/>
  <c r="BP185" i="4"/>
  <c r="BB185" i="4"/>
  <c r="BA185" i="4"/>
  <c r="AZ185" i="4"/>
  <c r="AY185" i="4"/>
  <c r="AX185" i="4"/>
  <c r="AW185" i="4"/>
  <c r="AV185" i="4"/>
  <c r="AU185" i="4"/>
  <c r="AT185" i="4"/>
  <c r="AK185" i="4"/>
  <c r="AJ185" i="4"/>
  <c r="AI185" i="4"/>
  <c r="AH185" i="4"/>
  <c r="AG185" i="4"/>
  <c r="AF185" i="4"/>
  <c r="AE185" i="4"/>
  <c r="AD185" i="4"/>
  <c r="AC185" i="4"/>
  <c r="O185" i="4"/>
  <c r="N185" i="4"/>
  <c r="M185" i="4"/>
  <c r="L185" i="4"/>
  <c r="K185" i="4"/>
  <c r="J185" i="4"/>
  <c r="I185" i="4"/>
  <c r="H185" i="4"/>
  <c r="G185" i="4"/>
  <c r="EY184" i="4"/>
  <c r="EX184" i="4"/>
  <c r="EW184" i="4"/>
  <c r="EV184" i="4"/>
  <c r="EU184" i="4"/>
  <c r="ET184" i="4"/>
  <c r="ES184" i="4"/>
  <c r="ER184" i="4"/>
  <c r="EQ184" i="4"/>
  <c r="EP184" i="4"/>
  <c r="ED184" i="4"/>
  <c r="EC184" i="4"/>
  <c r="EB184" i="4"/>
  <c r="EA184" i="4"/>
  <c r="DZ184" i="4"/>
  <c r="DY184" i="4"/>
  <c r="DX184" i="4"/>
  <c r="DW184" i="4"/>
  <c r="DV184" i="4"/>
  <c r="DU184" i="4"/>
  <c r="DK184" i="4"/>
  <c r="DJ184" i="4"/>
  <c r="DI184" i="4"/>
  <c r="DH184" i="4"/>
  <c r="DG184" i="4"/>
  <c r="DF184" i="4"/>
  <c r="DE184" i="4"/>
  <c r="DD184" i="4"/>
  <c r="DC184" i="4"/>
  <c r="DB184" i="4"/>
  <c r="CP184" i="4"/>
  <c r="CO184" i="4"/>
  <c r="CN184" i="4"/>
  <c r="CM184" i="4"/>
  <c r="CL184" i="4"/>
  <c r="CK184" i="4"/>
  <c r="CJ184" i="4"/>
  <c r="CI184" i="4"/>
  <c r="CH184" i="4"/>
  <c r="CG184" i="4"/>
  <c r="BX184" i="4"/>
  <c r="BW184" i="4"/>
  <c r="BV184" i="4"/>
  <c r="BU184" i="4"/>
  <c r="BT184" i="4"/>
  <c r="BS184" i="4"/>
  <c r="BR184" i="4"/>
  <c r="BQ184" i="4"/>
  <c r="BP184" i="4"/>
  <c r="BO184" i="4"/>
  <c r="BC184" i="4"/>
  <c r="BB184" i="4"/>
  <c r="BA184" i="4"/>
  <c r="AZ184" i="4"/>
  <c r="AY184" i="4"/>
  <c r="AX184" i="4"/>
  <c r="AW184" i="4"/>
  <c r="AV184" i="4"/>
  <c r="AU184" i="4"/>
  <c r="AT184" i="4"/>
  <c r="AK184" i="4"/>
  <c r="AJ184" i="4"/>
  <c r="AI184" i="4"/>
  <c r="AH184" i="4"/>
  <c r="AG184" i="4"/>
  <c r="AF184" i="4"/>
  <c r="AE184" i="4"/>
  <c r="AD184" i="4"/>
  <c r="AC184" i="4"/>
  <c r="AB184" i="4"/>
  <c r="P184" i="4"/>
  <c r="O184" i="4"/>
  <c r="N184" i="4"/>
  <c r="M184" i="4"/>
  <c r="L184" i="4"/>
  <c r="K184" i="4"/>
  <c r="J184" i="4"/>
  <c r="I184" i="4"/>
  <c r="H184" i="4"/>
  <c r="G184" i="4"/>
  <c r="EY183" i="4"/>
  <c r="EX183" i="4"/>
  <c r="EW183" i="4"/>
  <c r="EV183" i="4"/>
  <c r="EU183" i="4"/>
  <c r="ET183" i="4"/>
  <c r="ES183" i="4"/>
  <c r="ER183" i="4"/>
  <c r="EQ183" i="4"/>
  <c r="EP183" i="4"/>
  <c r="EO183" i="4"/>
  <c r="EE183" i="4"/>
  <c r="ED183" i="4"/>
  <c r="EC183" i="4"/>
  <c r="EB183" i="4"/>
  <c r="EA183" i="4"/>
  <c r="DZ183" i="4"/>
  <c r="DY183" i="4"/>
  <c r="DX183" i="4"/>
  <c r="DW183" i="4"/>
  <c r="DV183" i="4"/>
  <c r="DU183" i="4"/>
  <c r="DK183" i="4"/>
  <c r="DJ183" i="4"/>
  <c r="DI183" i="4"/>
  <c r="DH183" i="4"/>
  <c r="DG183" i="4"/>
  <c r="DF183" i="4"/>
  <c r="DE183" i="4"/>
  <c r="DD183" i="4"/>
  <c r="DC183" i="4"/>
  <c r="DB183" i="4"/>
  <c r="DA183" i="4"/>
  <c r="CQ183" i="4"/>
  <c r="CP183" i="4"/>
  <c r="CO183" i="4"/>
  <c r="CN183" i="4"/>
  <c r="CM183" i="4"/>
  <c r="CL183" i="4"/>
  <c r="CK183" i="4"/>
  <c r="CJ183" i="4"/>
  <c r="CI183" i="4"/>
  <c r="CH183" i="4"/>
  <c r="CG183" i="4"/>
  <c r="BX183" i="4"/>
  <c r="BW183" i="4"/>
  <c r="BV183" i="4"/>
  <c r="BU183" i="4"/>
  <c r="BT183" i="4"/>
  <c r="BS183" i="4"/>
  <c r="BR183" i="4"/>
  <c r="BQ183" i="4"/>
  <c r="BP183" i="4"/>
  <c r="BO183" i="4"/>
  <c r="BN183" i="4"/>
  <c r="BD183" i="4"/>
  <c r="BC183" i="4"/>
  <c r="BB183" i="4"/>
  <c r="BA183" i="4"/>
  <c r="AZ183" i="4"/>
  <c r="AY183" i="4"/>
  <c r="AX183" i="4"/>
  <c r="AW183" i="4"/>
  <c r="AV183" i="4"/>
  <c r="AU183" i="4"/>
  <c r="AT183" i="4"/>
  <c r="AK183" i="4"/>
  <c r="AJ183" i="4"/>
  <c r="AI183" i="4"/>
  <c r="AH183" i="4"/>
  <c r="AG183" i="4"/>
  <c r="AF183" i="4"/>
  <c r="AE183" i="4"/>
  <c r="AD183" i="4"/>
  <c r="AC183" i="4"/>
  <c r="AB183" i="4"/>
  <c r="AA183" i="4"/>
  <c r="Q183" i="4"/>
  <c r="P183" i="4"/>
  <c r="O183" i="4"/>
  <c r="N183" i="4"/>
  <c r="M183" i="4"/>
  <c r="L183" i="4"/>
  <c r="K183" i="4"/>
  <c r="J183" i="4"/>
  <c r="I183" i="4"/>
  <c r="H183" i="4"/>
  <c r="G183" i="4"/>
  <c r="EY182" i="4"/>
  <c r="EX182" i="4"/>
  <c r="EW182" i="4"/>
  <c r="EV182" i="4"/>
  <c r="EU182" i="4"/>
  <c r="ET182" i="4"/>
  <c r="ES182" i="4"/>
  <c r="ER182" i="4"/>
  <c r="EQ182" i="4"/>
  <c r="EP182" i="4"/>
  <c r="EO182" i="4"/>
  <c r="EE182" i="4"/>
  <c r="ED182" i="4"/>
  <c r="EC182" i="4"/>
  <c r="EB182" i="4"/>
  <c r="EA182" i="4"/>
  <c r="DZ182" i="4"/>
  <c r="DY182" i="4"/>
  <c r="DX182" i="4"/>
  <c r="DW182" i="4"/>
  <c r="DV182" i="4"/>
  <c r="DU182" i="4"/>
  <c r="DK182" i="4"/>
  <c r="DJ182" i="4"/>
  <c r="DI182" i="4"/>
  <c r="DH182" i="4"/>
  <c r="DG182" i="4"/>
  <c r="DF182" i="4"/>
  <c r="DE182" i="4"/>
  <c r="DD182" i="4"/>
  <c r="DC182" i="4"/>
  <c r="DB182" i="4"/>
  <c r="DA182" i="4"/>
  <c r="CQ182" i="4"/>
  <c r="CP182" i="4"/>
  <c r="CO182" i="4"/>
  <c r="CN182" i="4"/>
  <c r="CM182" i="4"/>
  <c r="CL182" i="4"/>
  <c r="CK182" i="4"/>
  <c r="CJ182" i="4"/>
  <c r="CI182" i="4"/>
  <c r="CH182" i="4"/>
  <c r="CG182" i="4"/>
  <c r="BX182" i="4"/>
  <c r="BW182" i="4"/>
  <c r="BV182" i="4"/>
  <c r="BU182" i="4"/>
  <c r="BT182" i="4"/>
  <c r="BS182" i="4"/>
  <c r="BR182" i="4"/>
  <c r="BQ182" i="4"/>
  <c r="BP182" i="4"/>
  <c r="BO182" i="4"/>
  <c r="BN182" i="4"/>
  <c r="BD182" i="4"/>
  <c r="BC182" i="4"/>
  <c r="BB182" i="4"/>
  <c r="BA182" i="4"/>
  <c r="AZ182" i="4"/>
  <c r="AY182" i="4"/>
  <c r="AX182" i="4"/>
  <c r="AW182" i="4"/>
  <c r="AV182" i="4"/>
  <c r="AU182" i="4"/>
  <c r="AT182" i="4"/>
  <c r="AK182" i="4"/>
  <c r="AJ182" i="4"/>
  <c r="AI182" i="4"/>
  <c r="AH182" i="4"/>
  <c r="AG182" i="4"/>
  <c r="AF182" i="4"/>
  <c r="AE182" i="4"/>
  <c r="AD182" i="4"/>
  <c r="AC182" i="4"/>
  <c r="AB182" i="4"/>
  <c r="AA182" i="4"/>
  <c r="Q182" i="4"/>
  <c r="P182" i="4"/>
  <c r="O182" i="4"/>
  <c r="N182" i="4"/>
  <c r="M182" i="4"/>
  <c r="L182" i="4"/>
  <c r="K182" i="4"/>
  <c r="J182" i="4"/>
  <c r="I182" i="4"/>
  <c r="H182" i="4"/>
  <c r="G182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EY180" i="4"/>
  <c r="EX180" i="4"/>
  <c r="EW180" i="4"/>
  <c r="EV180" i="4"/>
  <c r="EU180" i="4"/>
  <c r="ET180" i="4"/>
  <c r="ES180" i="4"/>
  <c r="ER180" i="4"/>
  <c r="EQ180" i="4"/>
  <c r="EP180" i="4"/>
  <c r="EO180" i="4"/>
  <c r="EN180" i="4"/>
  <c r="EF180" i="4"/>
  <c r="EE180" i="4"/>
  <c r="ED180" i="4"/>
  <c r="EC180" i="4"/>
  <c r="EB180" i="4"/>
  <c r="EA180" i="4"/>
  <c r="DZ180" i="4"/>
  <c r="DY180" i="4"/>
  <c r="DX180" i="4"/>
  <c r="DW180" i="4"/>
  <c r="DV180" i="4"/>
  <c r="DU180" i="4"/>
  <c r="DK180" i="4"/>
  <c r="DJ180" i="4"/>
  <c r="DI180" i="4"/>
  <c r="DH180" i="4"/>
  <c r="DG180" i="4"/>
  <c r="DF180" i="4"/>
  <c r="DE180" i="4"/>
  <c r="DD180" i="4"/>
  <c r="DC180" i="4"/>
  <c r="DB180" i="4"/>
  <c r="DA180" i="4"/>
  <c r="CZ180" i="4"/>
  <c r="CR180" i="4"/>
  <c r="CQ180" i="4"/>
  <c r="CP180" i="4"/>
  <c r="CO180" i="4"/>
  <c r="CN180" i="4"/>
  <c r="CM180" i="4"/>
  <c r="CL180" i="4"/>
  <c r="CK180" i="4"/>
  <c r="CJ180" i="4"/>
  <c r="CI180" i="4"/>
  <c r="CH180" i="4"/>
  <c r="CG180" i="4"/>
  <c r="BX180" i="4"/>
  <c r="BW180" i="4"/>
  <c r="BV180" i="4"/>
  <c r="BU180" i="4"/>
  <c r="BT180" i="4"/>
  <c r="BS180" i="4"/>
  <c r="BR180" i="4"/>
  <c r="BQ180" i="4"/>
  <c r="BP180" i="4"/>
  <c r="BO180" i="4"/>
  <c r="BN180" i="4"/>
  <c r="BM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EY179" i="4"/>
  <c r="EX179" i="4"/>
  <c r="EW179" i="4"/>
  <c r="EV179" i="4"/>
  <c r="EU179" i="4"/>
  <c r="ET179" i="4"/>
  <c r="ES179" i="4"/>
  <c r="ER179" i="4"/>
  <c r="EQ179" i="4"/>
  <c r="EP179" i="4"/>
  <c r="EO179" i="4"/>
  <c r="EN179" i="4"/>
  <c r="EM179" i="4"/>
  <c r="EG179" i="4"/>
  <c r="EF179" i="4"/>
  <c r="EE179" i="4"/>
  <c r="ED179" i="4"/>
  <c r="EC179" i="4"/>
  <c r="EB179" i="4"/>
  <c r="EA179" i="4"/>
  <c r="DZ179" i="4"/>
  <c r="DY179" i="4"/>
  <c r="DX179" i="4"/>
  <c r="DW179" i="4"/>
  <c r="DV179" i="4"/>
  <c r="DU179" i="4"/>
  <c r="DK179" i="4"/>
  <c r="DJ179" i="4"/>
  <c r="DI179" i="4"/>
  <c r="DH179" i="4"/>
  <c r="DG179" i="4"/>
  <c r="DF179" i="4"/>
  <c r="DE179" i="4"/>
  <c r="DD179" i="4"/>
  <c r="DC179" i="4"/>
  <c r="DB179" i="4"/>
  <c r="DA179" i="4"/>
  <c r="CZ179" i="4"/>
  <c r="CY179" i="4"/>
  <c r="CS179" i="4"/>
  <c r="CR179" i="4"/>
  <c r="CQ179" i="4"/>
  <c r="CP179" i="4"/>
  <c r="CO179" i="4"/>
  <c r="CN179" i="4"/>
  <c r="CM179" i="4"/>
  <c r="CL179" i="4"/>
  <c r="CK179" i="4"/>
  <c r="CJ179" i="4"/>
  <c r="CI179" i="4"/>
  <c r="CH179" i="4"/>
  <c r="CG179" i="4"/>
  <c r="BX179" i="4"/>
  <c r="BW179" i="4"/>
  <c r="BV179" i="4"/>
  <c r="BU179" i="4"/>
  <c r="BT179" i="4"/>
  <c r="BS179" i="4"/>
  <c r="BR179" i="4"/>
  <c r="BQ179" i="4"/>
  <c r="BP179" i="4"/>
  <c r="BO179" i="4"/>
  <c r="BN179" i="4"/>
  <c r="BM179" i="4"/>
  <c r="BL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EY178" i="4"/>
  <c r="EX178" i="4"/>
  <c r="EW178" i="4"/>
  <c r="EV178" i="4"/>
  <c r="EU178" i="4"/>
  <c r="ET178" i="4"/>
  <c r="ES178" i="4"/>
  <c r="ER178" i="4"/>
  <c r="EQ178" i="4"/>
  <c r="EP178" i="4"/>
  <c r="EO178" i="4"/>
  <c r="EN178" i="4"/>
  <c r="EM178" i="4"/>
  <c r="EG178" i="4"/>
  <c r="EF178" i="4"/>
  <c r="EE178" i="4"/>
  <c r="ED178" i="4"/>
  <c r="EC178" i="4"/>
  <c r="EB178" i="4"/>
  <c r="EA178" i="4"/>
  <c r="DZ178" i="4"/>
  <c r="DY178" i="4"/>
  <c r="DX178" i="4"/>
  <c r="DW178" i="4"/>
  <c r="DV178" i="4"/>
  <c r="DU178" i="4"/>
  <c r="DK178" i="4"/>
  <c r="DJ178" i="4"/>
  <c r="DI178" i="4"/>
  <c r="DH178" i="4"/>
  <c r="DG178" i="4"/>
  <c r="DF178" i="4"/>
  <c r="DE178" i="4"/>
  <c r="DD178" i="4"/>
  <c r="DC178" i="4"/>
  <c r="DB178" i="4"/>
  <c r="DA178" i="4"/>
  <c r="CZ178" i="4"/>
  <c r="CY178" i="4"/>
  <c r="CS178" i="4"/>
  <c r="CR178" i="4"/>
  <c r="CQ178" i="4"/>
  <c r="CP178" i="4"/>
  <c r="CO178" i="4"/>
  <c r="CN178" i="4"/>
  <c r="CM178" i="4"/>
  <c r="CL178" i="4"/>
  <c r="CK178" i="4"/>
  <c r="CJ178" i="4"/>
  <c r="CI178" i="4"/>
  <c r="CH178" i="4"/>
  <c r="CG178" i="4"/>
  <c r="BX178" i="4"/>
  <c r="BW178" i="4"/>
  <c r="BV178" i="4"/>
  <c r="BU178" i="4"/>
  <c r="BT178" i="4"/>
  <c r="BS178" i="4"/>
  <c r="BR178" i="4"/>
  <c r="BQ178" i="4"/>
  <c r="BP178" i="4"/>
  <c r="BO178" i="4"/>
  <c r="BN178" i="4"/>
  <c r="BM178" i="4"/>
  <c r="BL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EY177" i="4"/>
  <c r="EX177" i="4"/>
  <c r="EW177" i="4"/>
  <c r="EV177" i="4"/>
  <c r="EU177" i="4"/>
  <c r="ET177" i="4"/>
  <c r="ES177" i="4"/>
  <c r="ER177" i="4"/>
  <c r="EQ177" i="4"/>
  <c r="EP177" i="4"/>
  <c r="EO177" i="4"/>
  <c r="EN177" i="4"/>
  <c r="EM177" i="4"/>
  <c r="EG177" i="4"/>
  <c r="EF177" i="4"/>
  <c r="EE177" i="4"/>
  <c r="ED177" i="4"/>
  <c r="EC177" i="4"/>
  <c r="EB177" i="4"/>
  <c r="EA177" i="4"/>
  <c r="DZ177" i="4"/>
  <c r="DY177" i="4"/>
  <c r="DX177" i="4"/>
  <c r="DW177" i="4"/>
  <c r="DV177" i="4"/>
  <c r="DU177" i="4"/>
  <c r="DK177" i="4"/>
  <c r="DJ177" i="4"/>
  <c r="DI177" i="4"/>
  <c r="DH177" i="4"/>
  <c r="DG177" i="4"/>
  <c r="DF177" i="4"/>
  <c r="DE177" i="4"/>
  <c r="DD177" i="4"/>
  <c r="DC177" i="4"/>
  <c r="DB177" i="4"/>
  <c r="DA177" i="4"/>
  <c r="CZ177" i="4"/>
  <c r="CY177" i="4"/>
  <c r="CS177" i="4"/>
  <c r="CR177" i="4"/>
  <c r="CQ177" i="4"/>
  <c r="CP177" i="4"/>
  <c r="CO177" i="4"/>
  <c r="CN177" i="4"/>
  <c r="CM177" i="4"/>
  <c r="CL177" i="4"/>
  <c r="CK177" i="4"/>
  <c r="CJ177" i="4"/>
  <c r="CI177" i="4"/>
  <c r="CH177" i="4"/>
  <c r="CG177" i="4"/>
  <c r="BX177" i="4"/>
  <c r="BW177" i="4"/>
  <c r="BV177" i="4"/>
  <c r="BU177" i="4"/>
  <c r="BT177" i="4"/>
  <c r="BS177" i="4"/>
  <c r="BR177" i="4"/>
  <c r="BQ177" i="4"/>
  <c r="BP177" i="4"/>
  <c r="BO177" i="4"/>
  <c r="BN177" i="4"/>
  <c r="BM177" i="4"/>
  <c r="BL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EY176" i="4"/>
  <c r="EX176" i="4"/>
  <c r="EW176" i="4"/>
  <c r="EV176" i="4"/>
  <c r="EU176" i="4"/>
  <c r="ET176" i="4"/>
  <c r="ES176" i="4"/>
  <c r="ER176" i="4"/>
  <c r="EQ176" i="4"/>
  <c r="EP176" i="4"/>
  <c r="EO176" i="4"/>
  <c r="EN176" i="4"/>
  <c r="EM176" i="4"/>
  <c r="EL176" i="4"/>
  <c r="EH176" i="4"/>
  <c r="EG176" i="4"/>
  <c r="EF176" i="4"/>
  <c r="EE176" i="4"/>
  <c r="ED176" i="4"/>
  <c r="EC176" i="4"/>
  <c r="EB176" i="4"/>
  <c r="EA176" i="4"/>
  <c r="DZ176" i="4"/>
  <c r="DY176" i="4"/>
  <c r="DX176" i="4"/>
  <c r="DW176" i="4"/>
  <c r="DV176" i="4"/>
  <c r="DU176" i="4"/>
  <c r="DK176" i="4"/>
  <c r="DJ176" i="4"/>
  <c r="DI176" i="4"/>
  <c r="DH176" i="4"/>
  <c r="DG176" i="4"/>
  <c r="DF176" i="4"/>
  <c r="DE176" i="4"/>
  <c r="DD176" i="4"/>
  <c r="DC176" i="4"/>
  <c r="DB176" i="4"/>
  <c r="DA176" i="4"/>
  <c r="CZ176" i="4"/>
  <c r="CY176" i="4"/>
  <c r="CX176" i="4"/>
  <c r="CT176" i="4"/>
  <c r="CS176" i="4"/>
  <c r="CR176" i="4"/>
  <c r="CQ176" i="4"/>
  <c r="CP176" i="4"/>
  <c r="CO176" i="4"/>
  <c r="CN176" i="4"/>
  <c r="CM176" i="4"/>
  <c r="CL176" i="4"/>
  <c r="CK176" i="4"/>
  <c r="CJ176" i="4"/>
  <c r="CI176" i="4"/>
  <c r="CH176" i="4"/>
  <c r="CG176" i="4"/>
  <c r="BX176" i="4"/>
  <c r="BW176" i="4"/>
  <c r="BV176" i="4"/>
  <c r="BU176" i="4"/>
  <c r="BT176" i="4"/>
  <c r="BS176" i="4"/>
  <c r="BR176" i="4"/>
  <c r="BQ176" i="4"/>
  <c r="BP176" i="4"/>
  <c r="BO176" i="4"/>
  <c r="BN176" i="4"/>
  <c r="BM176" i="4"/>
  <c r="BL176" i="4"/>
  <c r="BK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EY175" i="4"/>
  <c r="EX175" i="4"/>
  <c r="EW175" i="4"/>
  <c r="EV175" i="4"/>
  <c r="EU175" i="4"/>
  <c r="ET175" i="4"/>
  <c r="ES175" i="4"/>
  <c r="ER175" i="4"/>
  <c r="EQ175" i="4"/>
  <c r="EP175" i="4"/>
  <c r="EO175" i="4"/>
  <c r="EN175" i="4"/>
  <c r="EM175" i="4"/>
  <c r="EL175" i="4"/>
  <c r="EH175" i="4"/>
  <c r="EG175" i="4"/>
  <c r="EF175" i="4"/>
  <c r="EE175" i="4"/>
  <c r="ED175" i="4"/>
  <c r="EC175" i="4"/>
  <c r="EB175" i="4"/>
  <c r="EA175" i="4"/>
  <c r="DZ175" i="4"/>
  <c r="DY175" i="4"/>
  <c r="DX175" i="4"/>
  <c r="DW175" i="4"/>
  <c r="DV175" i="4"/>
  <c r="DU175" i="4"/>
  <c r="DK175" i="4"/>
  <c r="DJ175" i="4"/>
  <c r="DI175" i="4"/>
  <c r="DH175" i="4"/>
  <c r="DG175" i="4"/>
  <c r="DF175" i="4"/>
  <c r="DE175" i="4"/>
  <c r="DD175" i="4"/>
  <c r="DC175" i="4"/>
  <c r="DB175" i="4"/>
  <c r="DA175" i="4"/>
  <c r="CZ175" i="4"/>
  <c r="CY175" i="4"/>
  <c r="CX175" i="4"/>
  <c r="CT175" i="4"/>
  <c r="CS175" i="4"/>
  <c r="CR175" i="4"/>
  <c r="CQ175" i="4"/>
  <c r="CP175" i="4"/>
  <c r="CO175" i="4"/>
  <c r="CN175" i="4"/>
  <c r="CM175" i="4"/>
  <c r="CL175" i="4"/>
  <c r="CK175" i="4"/>
  <c r="CJ175" i="4"/>
  <c r="CI175" i="4"/>
  <c r="CH175" i="4"/>
  <c r="CG175" i="4"/>
  <c r="BX175" i="4"/>
  <c r="BW175" i="4"/>
  <c r="BV175" i="4"/>
  <c r="BU175" i="4"/>
  <c r="BT175" i="4"/>
  <c r="BS175" i="4"/>
  <c r="BR175" i="4"/>
  <c r="BQ175" i="4"/>
  <c r="BP175" i="4"/>
  <c r="BO175" i="4"/>
  <c r="BN175" i="4"/>
  <c r="BM175" i="4"/>
  <c r="BL175" i="4"/>
  <c r="BK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EY174" i="4"/>
  <c r="EX174" i="4"/>
  <c r="EW174" i="4"/>
  <c r="EV174" i="4"/>
  <c r="EU174" i="4"/>
  <c r="ET174" i="4"/>
  <c r="ES174" i="4"/>
  <c r="ER174" i="4"/>
  <c r="EQ174" i="4"/>
  <c r="EP174" i="4"/>
  <c r="EO174" i="4"/>
  <c r="EN174" i="4"/>
  <c r="EM174" i="4"/>
  <c r="EL174" i="4"/>
  <c r="EH174" i="4"/>
  <c r="EG174" i="4"/>
  <c r="EF174" i="4"/>
  <c r="EE174" i="4"/>
  <c r="ED174" i="4"/>
  <c r="EC174" i="4"/>
  <c r="EB174" i="4"/>
  <c r="EA174" i="4"/>
  <c r="DZ174" i="4"/>
  <c r="DY174" i="4"/>
  <c r="DX174" i="4"/>
  <c r="DW174" i="4"/>
  <c r="DV174" i="4"/>
  <c r="DU174" i="4"/>
  <c r="DK174" i="4"/>
  <c r="DJ174" i="4"/>
  <c r="DI174" i="4"/>
  <c r="DH174" i="4"/>
  <c r="DG174" i="4"/>
  <c r="DF174" i="4"/>
  <c r="DE174" i="4"/>
  <c r="DD174" i="4"/>
  <c r="DC174" i="4"/>
  <c r="DB174" i="4"/>
  <c r="DA174" i="4"/>
  <c r="CZ174" i="4"/>
  <c r="CY174" i="4"/>
  <c r="CX174" i="4"/>
  <c r="CT174" i="4"/>
  <c r="CS174" i="4"/>
  <c r="CR174" i="4"/>
  <c r="CQ174" i="4"/>
  <c r="CP174" i="4"/>
  <c r="CO174" i="4"/>
  <c r="CN174" i="4"/>
  <c r="CM174" i="4"/>
  <c r="CL174" i="4"/>
  <c r="CK174" i="4"/>
  <c r="CJ174" i="4"/>
  <c r="CI174" i="4"/>
  <c r="CH174" i="4"/>
  <c r="CG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EY173" i="4"/>
  <c r="EX173" i="4"/>
  <c r="EW173" i="4"/>
  <c r="EV173" i="4"/>
  <c r="EU173" i="4"/>
  <c r="ET173" i="4"/>
  <c r="ES173" i="4"/>
  <c r="ER173" i="4"/>
  <c r="EQ173" i="4"/>
  <c r="EP173" i="4"/>
  <c r="EO173" i="4"/>
  <c r="EN173" i="4"/>
  <c r="EM173" i="4"/>
  <c r="EL173" i="4"/>
  <c r="EH173" i="4"/>
  <c r="EG173" i="4"/>
  <c r="EF173" i="4"/>
  <c r="EE173" i="4"/>
  <c r="ED173" i="4"/>
  <c r="EC173" i="4"/>
  <c r="EB173" i="4"/>
  <c r="EA173" i="4"/>
  <c r="DZ173" i="4"/>
  <c r="DY173" i="4"/>
  <c r="DX173" i="4"/>
  <c r="DW173" i="4"/>
  <c r="DV173" i="4"/>
  <c r="DU173" i="4"/>
  <c r="DK173" i="4"/>
  <c r="DJ173" i="4"/>
  <c r="DI173" i="4"/>
  <c r="DH173" i="4"/>
  <c r="DG173" i="4"/>
  <c r="DF173" i="4"/>
  <c r="DE173" i="4"/>
  <c r="DD173" i="4"/>
  <c r="DC173" i="4"/>
  <c r="DB173" i="4"/>
  <c r="DA173" i="4"/>
  <c r="CZ173" i="4"/>
  <c r="CY173" i="4"/>
  <c r="CX173" i="4"/>
  <c r="CT173" i="4"/>
  <c r="CS173" i="4"/>
  <c r="CR173" i="4"/>
  <c r="CQ173" i="4"/>
  <c r="CP173" i="4"/>
  <c r="CO173" i="4"/>
  <c r="CN173" i="4"/>
  <c r="CM173" i="4"/>
  <c r="CL173" i="4"/>
  <c r="CK173" i="4"/>
  <c r="CJ173" i="4"/>
  <c r="CI173" i="4"/>
  <c r="CH173" i="4"/>
  <c r="CG173" i="4"/>
  <c r="BX173" i="4"/>
  <c r="BW173" i="4"/>
  <c r="BV173" i="4"/>
  <c r="BU173" i="4"/>
  <c r="BT173" i="4"/>
  <c r="BS173" i="4"/>
  <c r="BR173" i="4"/>
  <c r="BQ173" i="4"/>
  <c r="BP173" i="4"/>
  <c r="BO173" i="4"/>
  <c r="BN173" i="4"/>
  <c r="BM173" i="4"/>
  <c r="BL173" i="4"/>
  <c r="BK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EY172" i="4"/>
  <c r="EX172" i="4"/>
  <c r="EW172" i="4"/>
  <c r="EV172" i="4"/>
  <c r="EU172" i="4"/>
  <c r="ET172" i="4"/>
  <c r="ES172" i="4"/>
  <c r="ER172" i="4"/>
  <c r="EQ172" i="4"/>
  <c r="EP172" i="4"/>
  <c r="EO172" i="4"/>
  <c r="EN172" i="4"/>
  <c r="EM172" i="4"/>
  <c r="EL172" i="4"/>
  <c r="EH172" i="4"/>
  <c r="EG172" i="4"/>
  <c r="EF172" i="4"/>
  <c r="EE172" i="4"/>
  <c r="ED172" i="4"/>
  <c r="EC172" i="4"/>
  <c r="EB172" i="4"/>
  <c r="EA172" i="4"/>
  <c r="DZ172" i="4"/>
  <c r="DY172" i="4"/>
  <c r="DX172" i="4"/>
  <c r="DW172" i="4"/>
  <c r="DV172" i="4"/>
  <c r="DU172" i="4"/>
  <c r="DK172" i="4"/>
  <c r="DJ172" i="4"/>
  <c r="DI172" i="4"/>
  <c r="DH172" i="4"/>
  <c r="DG172" i="4"/>
  <c r="DF172" i="4"/>
  <c r="DE172" i="4"/>
  <c r="DD172" i="4"/>
  <c r="DC172" i="4"/>
  <c r="DB172" i="4"/>
  <c r="DA172" i="4"/>
  <c r="CZ172" i="4"/>
  <c r="CY172" i="4"/>
  <c r="CX172" i="4"/>
  <c r="CT172" i="4"/>
  <c r="CS172" i="4"/>
  <c r="CR172" i="4"/>
  <c r="CQ172" i="4"/>
  <c r="CP172" i="4"/>
  <c r="CO172" i="4"/>
  <c r="CN172" i="4"/>
  <c r="CM172" i="4"/>
  <c r="CL172" i="4"/>
  <c r="CK172" i="4"/>
  <c r="CJ172" i="4"/>
  <c r="CI172" i="4"/>
  <c r="CH172" i="4"/>
  <c r="CG172" i="4"/>
  <c r="BX172" i="4"/>
  <c r="BW172" i="4"/>
  <c r="BV172" i="4"/>
  <c r="BU172" i="4"/>
  <c r="BT172" i="4"/>
  <c r="BS172" i="4"/>
  <c r="BR172" i="4"/>
  <c r="BQ172" i="4"/>
  <c r="BP172" i="4"/>
  <c r="BO172" i="4"/>
  <c r="BN172" i="4"/>
  <c r="BM172" i="4"/>
  <c r="BL172" i="4"/>
  <c r="BK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H171" i="4"/>
  <c r="EG171" i="4"/>
  <c r="EF171" i="4"/>
  <c r="EE171" i="4"/>
  <c r="ED171" i="4"/>
  <c r="EC171" i="4"/>
  <c r="EB171" i="4"/>
  <c r="EA171" i="4"/>
  <c r="DZ171" i="4"/>
  <c r="DY171" i="4"/>
  <c r="DX171" i="4"/>
  <c r="DW171" i="4"/>
  <c r="DV171" i="4"/>
  <c r="DU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K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EY170" i="4"/>
  <c r="EX170" i="4"/>
  <c r="EW170" i="4"/>
  <c r="EV170" i="4"/>
  <c r="EU170" i="4"/>
  <c r="ET170" i="4"/>
  <c r="ES170" i="4"/>
  <c r="ER170" i="4"/>
  <c r="EQ170" i="4"/>
  <c r="EP170" i="4"/>
  <c r="EO170" i="4"/>
  <c r="EN170" i="4"/>
  <c r="EM170" i="4"/>
  <c r="EL170" i="4"/>
  <c r="EH170" i="4"/>
  <c r="EG170" i="4"/>
  <c r="EF170" i="4"/>
  <c r="EE170" i="4"/>
  <c r="ED170" i="4"/>
  <c r="EC170" i="4"/>
  <c r="EB170" i="4"/>
  <c r="EA170" i="4"/>
  <c r="DZ170" i="4"/>
  <c r="DY170" i="4"/>
  <c r="DX170" i="4"/>
  <c r="DW170" i="4"/>
  <c r="DV170" i="4"/>
  <c r="DU170" i="4"/>
  <c r="DK170" i="4"/>
  <c r="DJ170" i="4"/>
  <c r="DI170" i="4"/>
  <c r="DH170" i="4"/>
  <c r="DG170" i="4"/>
  <c r="DF170" i="4"/>
  <c r="DE170" i="4"/>
  <c r="DD170" i="4"/>
  <c r="DC170" i="4"/>
  <c r="DB170" i="4"/>
  <c r="DA170" i="4"/>
  <c r="CZ170" i="4"/>
  <c r="CY170" i="4"/>
  <c r="CX170" i="4"/>
  <c r="CT170" i="4"/>
  <c r="CS170" i="4"/>
  <c r="CR170" i="4"/>
  <c r="CQ170" i="4"/>
  <c r="CP170" i="4"/>
  <c r="CO170" i="4"/>
  <c r="CN170" i="4"/>
  <c r="CM170" i="4"/>
  <c r="CL170" i="4"/>
  <c r="CK170" i="4"/>
  <c r="CJ170" i="4"/>
  <c r="CI170" i="4"/>
  <c r="CH170" i="4"/>
  <c r="CG170" i="4"/>
  <c r="BX170" i="4"/>
  <c r="BW170" i="4"/>
  <c r="BV170" i="4"/>
  <c r="BU170" i="4"/>
  <c r="BT170" i="4"/>
  <c r="BS170" i="4"/>
  <c r="BR170" i="4"/>
  <c r="BQ170" i="4"/>
  <c r="BP170" i="4"/>
  <c r="BO170" i="4"/>
  <c r="BN170" i="4"/>
  <c r="BM170" i="4"/>
  <c r="BL170" i="4"/>
  <c r="BK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EY168" i="4"/>
  <c r="EX168" i="4"/>
  <c r="EW168" i="4"/>
  <c r="EV168" i="4"/>
  <c r="EU168" i="4"/>
  <c r="ET168" i="4"/>
  <c r="ES168" i="4"/>
  <c r="ER168" i="4"/>
  <c r="EQ168" i="4"/>
  <c r="EP168" i="4"/>
  <c r="EO168" i="4"/>
  <c r="EN168" i="4"/>
  <c r="EM168" i="4"/>
  <c r="EL168" i="4"/>
  <c r="EH168" i="4"/>
  <c r="EG168" i="4"/>
  <c r="EF168" i="4"/>
  <c r="EE168" i="4"/>
  <c r="ED168" i="4"/>
  <c r="EC168" i="4"/>
  <c r="EB168" i="4"/>
  <c r="EA168" i="4"/>
  <c r="DZ168" i="4"/>
  <c r="DY168" i="4"/>
  <c r="DX168" i="4"/>
  <c r="DW168" i="4"/>
  <c r="DV168" i="4"/>
  <c r="DU168" i="4"/>
  <c r="DK168" i="4"/>
  <c r="DJ168" i="4"/>
  <c r="DI168" i="4"/>
  <c r="DH168" i="4"/>
  <c r="DG168" i="4"/>
  <c r="DF168" i="4"/>
  <c r="DE168" i="4"/>
  <c r="DD168" i="4"/>
  <c r="DC168" i="4"/>
  <c r="DB168" i="4"/>
  <c r="DA168" i="4"/>
  <c r="CZ168" i="4"/>
  <c r="CY168" i="4"/>
  <c r="CX168" i="4"/>
  <c r="CT168" i="4"/>
  <c r="CS168" i="4"/>
  <c r="CR168" i="4"/>
  <c r="CQ168" i="4"/>
  <c r="CP168" i="4"/>
  <c r="CO168" i="4"/>
  <c r="CN168" i="4"/>
  <c r="CM168" i="4"/>
  <c r="CL168" i="4"/>
  <c r="CK168" i="4"/>
  <c r="CJ168" i="4"/>
  <c r="CI168" i="4"/>
  <c r="CH168" i="4"/>
  <c r="CG168" i="4"/>
  <c r="BX168" i="4"/>
  <c r="BW168" i="4"/>
  <c r="BV168" i="4"/>
  <c r="BU168" i="4"/>
  <c r="BT168" i="4"/>
  <c r="BS168" i="4"/>
  <c r="BR168" i="4"/>
  <c r="BQ168" i="4"/>
  <c r="BP168" i="4"/>
  <c r="BO168" i="4"/>
  <c r="BN168" i="4"/>
  <c r="BM168" i="4"/>
  <c r="BL168" i="4"/>
  <c r="BK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EY167" i="4"/>
  <c r="EX167" i="4"/>
  <c r="EW167" i="4"/>
  <c r="EV167" i="4"/>
  <c r="EU167" i="4"/>
  <c r="ET167" i="4"/>
  <c r="ES167" i="4"/>
  <c r="ER167" i="4"/>
  <c r="EQ167" i="4"/>
  <c r="EP167" i="4"/>
  <c r="EO167" i="4"/>
  <c r="EN167" i="4"/>
  <c r="EM167" i="4"/>
  <c r="EL167" i="4"/>
  <c r="EH167" i="4"/>
  <c r="EG167" i="4"/>
  <c r="EF167" i="4"/>
  <c r="EE167" i="4"/>
  <c r="ED167" i="4"/>
  <c r="EC167" i="4"/>
  <c r="EB167" i="4"/>
  <c r="EA167" i="4"/>
  <c r="DZ167" i="4"/>
  <c r="DY167" i="4"/>
  <c r="DX167" i="4"/>
  <c r="DW167" i="4"/>
  <c r="DV167" i="4"/>
  <c r="DU167" i="4"/>
  <c r="DK167" i="4"/>
  <c r="DJ167" i="4"/>
  <c r="DI167" i="4"/>
  <c r="DH167" i="4"/>
  <c r="DG167" i="4"/>
  <c r="DF167" i="4"/>
  <c r="DE167" i="4"/>
  <c r="DD167" i="4"/>
  <c r="DC167" i="4"/>
  <c r="DB167" i="4"/>
  <c r="DA167" i="4"/>
  <c r="CZ167" i="4"/>
  <c r="CY167" i="4"/>
  <c r="CX167" i="4"/>
  <c r="CT167" i="4"/>
  <c r="CS167" i="4"/>
  <c r="CR167" i="4"/>
  <c r="CQ167" i="4"/>
  <c r="CP167" i="4"/>
  <c r="CO167" i="4"/>
  <c r="CN167" i="4"/>
  <c r="CM167" i="4"/>
  <c r="CL167" i="4"/>
  <c r="CK167" i="4"/>
  <c r="CJ167" i="4"/>
  <c r="CI167" i="4"/>
  <c r="CH167" i="4"/>
  <c r="CG167" i="4"/>
  <c r="BX167" i="4"/>
  <c r="BW167" i="4"/>
  <c r="BV167" i="4"/>
  <c r="BU167" i="4"/>
  <c r="BT167" i="4"/>
  <c r="BS167" i="4"/>
  <c r="BR167" i="4"/>
  <c r="BQ167" i="4"/>
  <c r="BP167" i="4"/>
  <c r="BO167" i="4"/>
  <c r="BN167" i="4"/>
  <c r="BM167" i="4"/>
  <c r="BL167" i="4"/>
  <c r="BK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EY166" i="4"/>
  <c r="EX166" i="4"/>
  <c r="EW166" i="4"/>
  <c r="EV166" i="4"/>
  <c r="EU166" i="4"/>
  <c r="ET166" i="4"/>
  <c r="ES166" i="4"/>
  <c r="ER166" i="4"/>
  <c r="EQ166" i="4"/>
  <c r="EP166" i="4"/>
  <c r="EO166" i="4"/>
  <c r="EN166" i="4"/>
  <c r="EM166" i="4"/>
  <c r="EL166" i="4"/>
  <c r="EH166" i="4"/>
  <c r="EG166" i="4"/>
  <c r="EF166" i="4"/>
  <c r="EE166" i="4"/>
  <c r="ED166" i="4"/>
  <c r="EC166" i="4"/>
  <c r="EB166" i="4"/>
  <c r="EA166" i="4"/>
  <c r="DZ166" i="4"/>
  <c r="DY166" i="4"/>
  <c r="DX166" i="4"/>
  <c r="DW166" i="4"/>
  <c r="DV166" i="4"/>
  <c r="DU166" i="4"/>
  <c r="DK166" i="4"/>
  <c r="DJ166" i="4"/>
  <c r="DI166" i="4"/>
  <c r="DH166" i="4"/>
  <c r="DG166" i="4"/>
  <c r="DF166" i="4"/>
  <c r="DE166" i="4"/>
  <c r="DD166" i="4"/>
  <c r="DC166" i="4"/>
  <c r="DB166" i="4"/>
  <c r="DA166" i="4"/>
  <c r="CZ166" i="4"/>
  <c r="CY166" i="4"/>
  <c r="CX166" i="4"/>
  <c r="CT166" i="4"/>
  <c r="CS166" i="4"/>
  <c r="CR166" i="4"/>
  <c r="CQ166" i="4"/>
  <c r="CP166" i="4"/>
  <c r="CO166" i="4"/>
  <c r="CN166" i="4"/>
  <c r="CM166" i="4"/>
  <c r="CL166" i="4"/>
  <c r="CK166" i="4"/>
  <c r="CJ166" i="4"/>
  <c r="CI166" i="4"/>
  <c r="CH166" i="4"/>
  <c r="CG166" i="4"/>
  <c r="BX166" i="4"/>
  <c r="BW166" i="4"/>
  <c r="BV166" i="4"/>
  <c r="BU166" i="4"/>
  <c r="BT166" i="4"/>
  <c r="BS166" i="4"/>
  <c r="BR166" i="4"/>
  <c r="BQ166" i="4"/>
  <c r="BP166" i="4"/>
  <c r="BO166" i="4"/>
  <c r="BN166" i="4"/>
  <c r="BM166" i="4"/>
  <c r="BL166" i="4"/>
  <c r="BK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EY165" i="4"/>
  <c r="EX165" i="4"/>
  <c r="EW165" i="4"/>
  <c r="EV165" i="4"/>
  <c r="EU165" i="4"/>
  <c r="ET165" i="4"/>
  <c r="ES165" i="4"/>
  <c r="ER165" i="4"/>
  <c r="EQ165" i="4"/>
  <c r="EP165" i="4"/>
  <c r="EO165" i="4"/>
  <c r="EN165" i="4"/>
  <c r="EM165" i="4"/>
  <c r="EL165" i="4"/>
  <c r="EH165" i="4"/>
  <c r="EG165" i="4"/>
  <c r="EF165" i="4"/>
  <c r="EE165" i="4"/>
  <c r="ED165" i="4"/>
  <c r="EC165" i="4"/>
  <c r="EB165" i="4"/>
  <c r="EA165" i="4"/>
  <c r="DZ165" i="4"/>
  <c r="DY165" i="4"/>
  <c r="DX165" i="4"/>
  <c r="DW165" i="4"/>
  <c r="DV165" i="4"/>
  <c r="DU165" i="4"/>
  <c r="DK165" i="4"/>
  <c r="DJ165" i="4"/>
  <c r="DI165" i="4"/>
  <c r="DH165" i="4"/>
  <c r="DG165" i="4"/>
  <c r="DF165" i="4"/>
  <c r="DE165" i="4"/>
  <c r="DD165" i="4"/>
  <c r="DC165" i="4"/>
  <c r="DB165" i="4"/>
  <c r="DA165" i="4"/>
  <c r="CZ165" i="4"/>
  <c r="CY165" i="4"/>
  <c r="CX165" i="4"/>
  <c r="CT165" i="4"/>
  <c r="CS165" i="4"/>
  <c r="CR165" i="4"/>
  <c r="CQ165" i="4"/>
  <c r="CP165" i="4"/>
  <c r="CO165" i="4"/>
  <c r="CN165" i="4"/>
  <c r="CM165" i="4"/>
  <c r="CL165" i="4"/>
  <c r="CK165" i="4"/>
  <c r="CJ165" i="4"/>
  <c r="CI165" i="4"/>
  <c r="CH165" i="4"/>
  <c r="CG165" i="4"/>
  <c r="BX165" i="4"/>
  <c r="BW165" i="4"/>
  <c r="BV165" i="4"/>
  <c r="BU165" i="4"/>
  <c r="BT165" i="4"/>
  <c r="BS165" i="4"/>
  <c r="BR165" i="4"/>
  <c r="BQ165" i="4"/>
  <c r="BP165" i="4"/>
  <c r="BO165" i="4"/>
  <c r="BN165" i="4"/>
  <c r="BM165" i="4"/>
  <c r="BL165" i="4"/>
  <c r="BK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EY164" i="4"/>
  <c r="EX164" i="4"/>
  <c r="EW164" i="4"/>
  <c r="EV164" i="4"/>
  <c r="EU164" i="4"/>
  <c r="ET164" i="4"/>
  <c r="ES164" i="4"/>
  <c r="ER164" i="4"/>
  <c r="EQ164" i="4"/>
  <c r="EP164" i="4"/>
  <c r="EO164" i="4"/>
  <c r="EN164" i="4"/>
  <c r="EM164" i="4"/>
  <c r="EL164" i="4"/>
  <c r="EH164" i="4"/>
  <c r="EG164" i="4"/>
  <c r="EF164" i="4"/>
  <c r="EE164" i="4"/>
  <c r="ED164" i="4"/>
  <c r="EC164" i="4"/>
  <c r="EB164" i="4"/>
  <c r="EA164" i="4"/>
  <c r="DZ164" i="4"/>
  <c r="DY164" i="4"/>
  <c r="DX164" i="4"/>
  <c r="DW164" i="4"/>
  <c r="DV164" i="4"/>
  <c r="DU164" i="4"/>
  <c r="DK164" i="4"/>
  <c r="DJ164" i="4"/>
  <c r="DI164" i="4"/>
  <c r="DH164" i="4"/>
  <c r="DG164" i="4"/>
  <c r="DF164" i="4"/>
  <c r="DE164" i="4"/>
  <c r="DD164" i="4"/>
  <c r="DC164" i="4"/>
  <c r="DB164" i="4"/>
  <c r="DA164" i="4"/>
  <c r="CZ164" i="4"/>
  <c r="CY164" i="4"/>
  <c r="CX164" i="4"/>
  <c r="CT164" i="4"/>
  <c r="CS164" i="4"/>
  <c r="CR164" i="4"/>
  <c r="CQ164" i="4"/>
  <c r="CP164" i="4"/>
  <c r="CO164" i="4"/>
  <c r="CN164" i="4"/>
  <c r="CM164" i="4"/>
  <c r="CL164" i="4"/>
  <c r="CK164" i="4"/>
  <c r="CJ164" i="4"/>
  <c r="CI164" i="4"/>
  <c r="CH164" i="4"/>
  <c r="CG164" i="4"/>
  <c r="BX164" i="4"/>
  <c r="BW164" i="4"/>
  <c r="BV164" i="4"/>
  <c r="BU164" i="4"/>
  <c r="BT164" i="4"/>
  <c r="BS164" i="4"/>
  <c r="BR164" i="4"/>
  <c r="BQ164" i="4"/>
  <c r="BP164" i="4"/>
  <c r="BO164" i="4"/>
  <c r="BN164" i="4"/>
  <c r="BM164" i="4"/>
  <c r="BL164" i="4"/>
  <c r="BK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EY163" i="4"/>
  <c r="EX163" i="4"/>
  <c r="EW163" i="4"/>
  <c r="EV163" i="4"/>
  <c r="EU163" i="4"/>
  <c r="ET163" i="4"/>
  <c r="ES163" i="4"/>
  <c r="ER163" i="4"/>
  <c r="EQ163" i="4"/>
  <c r="EP163" i="4"/>
  <c r="EO163" i="4"/>
  <c r="EN163" i="4"/>
  <c r="EM163" i="4"/>
  <c r="EL163" i="4"/>
  <c r="EH163" i="4"/>
  <c r="EG163" i="4"/>
  <c r="EF163" i="4"/>
  <c r="EE163" i="4"/>
  <c r="ED163" i="4"/>
  <c r="EC163" i="4"/>
  <c r="EB163" i="4"/>
  <c r="EA163" i="4"/>
  <c r="DZ163" i="4"/>
  <c r="DY163" i="4"/>
  <c r="DX163" i="4"/>
  <c r="DW163" i="4"/>
  <c r="DV163" i="4"/>
  <c r="DU163" i="4"/>
  <c r="DK163" i="4"/>
  <c r="DJ163" i="4"/>
  <c r="DI163" i="4"/>
  <c r="DH163" i="4"/>
  <c r="DG163" i="4"/>
  <c r="DF163" i="4"/>
  <c r="DE163" i="4"/>
  <c r="DD163" i="4"/>
  <c r="DC163" i="4"/>
  <c r="DB163" i="4"/>
  <c r="DA163" i="4"/>
  <c r="CZ163" i="4"/>
  <c r="CY163" i="4"/>
  <c r="CX163" i="4"/>
  <c r="CT163" i="4"/>
  <c r="CS163" i="4"/>
  <c r="CR163" i="4"/>
  <c r="CQ163" i="4"/>
  <c r="CP163" i="4"/>
  <c r="CO163" i="4"/>
  <c r="CN163" i="4"/>
  <c r="CM163" i="4"/>
  <c r="CL163" i="4"/>
  <c r="CK163" i="4"/>
  <c r="CJ163" i="4"/>
  <c r="CI163" i="4"/>
  <c r="CH163" i="4"/>
  <c r="CG163" i="4"/>
  <c r="BX163" i="4"/>
  <c r="BW163" i="4"/>
  <c r="BV163" i="4"/>
  <c r="BU163" i="4"/>
  <c r="BT163" i="4"/>
  <c r="BS163" i="4"/>
  <c r="BR163" i="4"/>
  <c r="BQ163" i="4"/>
  <c r="BP163" i="4"/>
  <c r="BO163" i="4"/>
  <c r="BN163" i="4"/>
  <c r="BM163" i="4"/>
  <c r="BL163" i="4"/>
  <c r="BK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EY161" i="4"/>
  <c r="EX161" i="4"/>
  <c r="EW161" i="4"/>
  <c r="EV161" i="4"/>
  <c r="EU161" i="4"/>
  <c r="ET161" i="4"/>
  <c r="ES161" i="4"/>
  <c r="ER161" i="4"/>
  <c r="EQ161" i="4"/>
  <c r="EP161" i="4"/>
  <c r="EO161" i="4"/>
  <c r="EN161" i="4"/>
  <c r="EM161" i="4"/>
  <c r="EL161" i="4"/>
  <c r="EH161" i="4"/>
  <c r="EG161" i="4"/>
  <c r="EF161" i="4"/>
  <c r="EE161" i="4"/>
  <c r="ED161" i="4"/>
  <c r="EC161" i="4"/>
  <c r="EB161" i="4"/>
  <c r="EA161" i="4"/>
  <c r="DZ161" i="4"/>
  <c r="DY161" i="4"/>
  <c r="DX161" i="4"/>
  <c r="DW161" i="4"/>
  <c r="DV161" i="4"/>
  <c r="DU161" i="4"/>
  <c r="DK161" i="4"/>
  <c r="DJ161" i="4"/>
  <c r="DI161" i="4"/>
  <c r="DH161" i="4"/>
  <c r="DG161" i="4"/>
  <c r="DF161" i="4"/>
  <c r="DE161" i="4"/>
  <c r="DD161" i="4"/>
  <c r="DC161" i="4"/>
  <c r="DB161" i="4"/>
  <c r="DA161" i="4"/>
  <c r="CZ161" i="4"/>
  <c r="CY161" i="4"/>
  <c r="CX161" i="4"/>
  <c r="CT161" i="4"/>
  <c r="CS161" i="4"/>
  <c r="CR161" i="4"/>
  <c r="CQ161" i="4"/>
  <c r="CP161" i="4"/>
  <c r="CO161" i="4"/>
  <c r="CN161" i="4"/>
  <c r="CM161" i="4"/>
  <c r="CL161" i="4"/>
  <c r="CK161" i="4"/>
  <c r="CJ161" i="4"/>
  <c r="CI161" i="4"/>
  <c r="CH161" i="4"/>
  <c r="CG161" i="4"/>
  <c r="BX161" i="4"/>
  <c r="BW161" i="4"/>
  <c r="BV161" i="4"/>
  <c r="BU161" i="4"/>
  <c r="BT161" i="4"/>
  <c r="BS161" i="4"/>
  <c r="BR161" i="4"/>
  <c r="BQ161" i="4"/>
  <c r="BP161" i="4"/>
  <c r="BO161" i="4"/>
  <c r="BN161" i="4"/>
  <c r="BM161" i="4"/>
  <c r="BL161" i="4"/>
  <c r="BK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EY160" i="4"/>
  <c r="EX160" i="4"/>
  <c r="EW160" i="4"/>
  <c r="EV160" i="4"/>
  <c r="EU160" i="4"/>
  <c r="ET160" i="4"/>
  <c r="ES160" i="4"/>
  <c r="ER160" i="4"/>
  <c r="EQ160" i="4"/>
  <c r="EP160" i="4"/>
  <c r="EO160" i="4"/>
  <c r="EN160" i="4"/>
  <c r="EM160" i="4"/>
  <c r="EL160" i="4"/>
  <c r="EH160" i="4"/>
  <c r="EG160" i="4"/>
  <c r="EF160" i="4"/>
  <c r="EE160" i="4"/>
  <c r="ED160" i="4"/>
  <c r="EC160" i="4"/>
  <c r="EB160" i="4"/>
  <c r="EA160" i="4"/>
  <c r="DZ160" i="4"/>
  <c r="DY160" i="4"/>
  <c r="DX160" i="4"/>
  <c r="DW160" i="4"/>
  <c r="DV160" i="4"/>
  <c r="DU160" i="4"/>
  <c r="DK160" i="4"/>
  <c r="DJ160" i="4"/>
  <c r="DI160" i="4"/>
  <c r="DH160" i="4"/>
  <c r="DG160" i="4"/>
  <c r="DF160" i="4"/>
  <c r="DE160" i="4"/>
  <c r="DD160" i="4"/>
  <c r="DC160" i="4"/>
  <c r="DB160" i="4"/>
  <c r="DA160" i="4"/>
  <c r="CZ160" i="4"/>
  <c r="CY160" i="4"/>
  <c r="CX160" i="4"/>
  <c r="CT160" i="4"/>
  <c r="CS160" i="4"/>
  <c r="CR160" i="4"/>
  <c r="CQ160" i="4"/>
  <c r="CP160" i="4"/>
  <c r="CO160" i="4"/>
  <c r="CN160" i="4"/>
  <c r="CM160" i="4"/>
  <c r="CL160" i="4"/>
  <c r="CK160" i="4"/>
  <c r="CJ160" i="4"/>
  <c r="CI160" i="4"/>
  <c r="CH160" i="4"/>
  <c r="CG160" i="4"/>
  <c r="BX160" i="4"/>
  <c r="BW160" i="4"/>
  <c r="BV160" i="4"/>
  <c r="BU160" i="4"/>
  <c r="BT160" i="4"/>
  <c r="BS160" i="4"/>
  <c r="BR160" i="4"/>
  <c r="BQ160" i="4"/>
  <c r="BP160" i="4"/>
  <c r="BO160" i="4"/>
  <c r="BN160" i="4"/>
  <c r="BM160" i="4"/>
  <c r="BL160" i="4"/>
  <c r="BK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EY159" i="4"/>
  <c r="EX159" i="4"/>
  <c r="EW159" i="4"/>
  <c r="EV159" i="4"/>
  <c r="EU159" i="4"/>
  <c r="ET159" i="4"/>
  <c r="ES159" i="4"/>
  <c r="ER159" i="4"/>
  <c r="EQ159" i="4"/>
  <c r="EP159" i="4"/>
  <c r="EO159" i="4"/>
  <c r="EN159" i="4"/>
  <c r="EM159" i="4"/>
  <c r="EL159" i="4"/>
  <c r="EH159" i="4"/>
  <c r="EG159" i="4"/>
  <c r="EF159" i="4"/>
  <c r="EE159" i="4"/>
  <c r="ED159" i="4"/>
  <c r="EC159" i="4"/>
  <c r="EB159" i="4"/>
  <c r="EA159" i="4"/>
  <c r="DZ159" i="4"/>
  <c r="DY159" i="4"/>
  <c r="DX159" i="4"/>
  <c r="DW159" i="4"/>
  <c r="DV159" i="4"/>
  <c r="DU159" i="4"/>
  <c r="DK159" i="4"/>
  <c r="DJ159" i="4"/>
  <c r="DI159" i="4"/>
  <c r="DH159" i="4"/>
  <c r="DG159" i="4"/>
  <c r="DF159" i="4"/>
  <c r="DE159" i="4"/>
  <c r="DD159" i="4"/>
  <c r="DC159" i="4"/>
  <c r="DB159" i="4"/>
  <c r="DA159" i="4"/>
  <c r="CZ159" i="4"/>
  <c r="CY159" i="4"/>
  <c r="CX159" i="4"/>
  <c r="CT159" i="4"/>
  <c r="CS159" i="4"/>
  <c r="CR159" i="4"/>
  <c r="CQ159" i="4"/>
  <c r="CP159" i="4"/>
  <c r="CO159" i="4"/>
  <c r="CN159" i="4"/>
  <c r="CM159" i="4"/>
  <c r="CL159" i="4"/>
  <c r="CK159" i="4"/>
  <c r="CJ159" i="4"/>
  <c r="CI159" i="4"/>
  <c r="CH159" i="4"/>
  <c r="CG159" i="4"/>
  <c r="BX159" i="4"/>
  <c r="BW159" i="4"/>
  <c r="BV159" i="4"/>
  <c r="BU159" i="4"/>
  <c r="BT159" i="4"/>
  <c r="BS159" i="4"/>
  <c r="BR159" i="4"/>
  <c r="BQ159" i="4"/>
  <c r="BP159" i="4"/>
  <c r="BO159" i="4"/>
  <c r="BN159" i="4"/>
  <c r="BM159" i="4"/>
  <c r="BL159" i="4"/>
  <c r="BK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EY158" i="4"/>
  <c r="EX158" i="4"/>
  <c r="EW158" i="4"/>
  <c r="EV158" i="4"/>
  <c r="EU158" i="4"/>
  <c r="ET158" i="4"/>
  <c r="ES158" i="4"/>
  <c r="ER158" i="4"/>
  <c r="EQ158" i="4"/>
  <c r="EP158" i="4"/>
  <c r="EO158" i="4"/>
  <c r="EN158" i="4"/>
  <c r="EM158" i="4"/>
  <c r="EL158" i="4"/>
  <c r="EH158" i="4"/>
  <c r="EG158" i="4"/>
  <c r="EF158" i="4"/>
  <c r="EE158" i="4"/>
  <c r="ED158" i="4"/>
  <c r="EC158" i="4"/>
  <c r="EB158" i="4"/>
  <c r="EA158" i="4"/>
  <c r="DZ158" i="4"/>
  <c r="DY158" i="4"/>
  <c r="DX158" i="4"/>
  <c r="DW158" i="4"/>
  <c r="DV158" i="4"/>
  <c r="DU158" i="4"/>
  <c r="DK158" i="4"/>
  <c r="DJ158" i="4"/>
  <c r="DI158" i="4"/>
  <c r="DH158" i="4"/>
  <c r="DG158" i="4"/>
  <c r="DF158" i="4"/>
  <c r="DE158" i="4"/>
  <c r="DD158" i="4"/>
  <c r="DC158" i="4"/>
  <c r="DB158" i="4"/>
  <c r="DA158" i="4"/>
  <c r="CZ158" i="4"/>
  <c r="CY158" i="4"/>
  <c r="CX158" i="4"/>
  <c r="CT158" i="4"/>
  <c r="CS158" i="4"/>
  <c r="CR158" i="4"/>
  <c r="CQ158" i="4"/>
  <c r="CP158" i="4"/>
  <c r="CO158" i="4"/>
  <c r="CN158" i="4"/>
  <c r="CM158" i="4"/>
  <c r="CL158" i="4"/>
  <c r="CK158" i="4"/>
  <c r="CJ158" i="4"/>
  <c r="CI158" i="4"/>
  <c r="CH158" i="4"/>
  <c r="CG158" i="4"/>
  <c r="BX158" i="4"/>
  <c r="BW158" i="4"/>
  <c r="BV158" i="4"/>
  <c r="BU158" i="4"/>
  <c r="BT158" i="4"/>
  <c r="BS158" i="4"/>
  <c r="BR158" i="4"/>
  <c r="BQ158" i="4"/>
  <c r="BP158" i="4"/>
  <c r="BO158" i="4"/>
  <c r="BN158" i="4"/>
  <c r="BM158" i="4"/>
  <c r="BL158" i="4"/>
  <c r="BK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EY157" i="4"/>
  <c r="EX157" i="4"/>
  <c r="EW157" i="4"/>
  <c r="EV157" i="4"/>
  <c r="EU157" i="4"/>
  <c r="ET157" i="4"/>
  <c r="ES157" i="4"/>
  <c r="ER157" i="4"/>
  <c r="EQ157" i="4"/>
  <c r="EP157" i="4"/>
  <c r="EO157" i="4"/>
  <c r="EN157" i="4"/>
  <c r="EM157" i="4"/>
  <c r="EL157" i="4"/>
  <c r="EH157" i="4"/>
  <c r="EG157" i="4"/>
  <c r="EF157" i="4"/>
  <c r="EE157" i="4"/>
  <c r="ED157" i="4"/>
  <c r="EC157" i="4"/>
  <c r="EB157" i="4"/>
  <c r="EA157" i="4"/>
  <c r="DZ157" i="4"/>
  <c r="DY157" i="4"/>
  <c r="DX157" i="4"/>
  <c r="DW157" i="4"/>
  <c r="DV157" i="4"/>
  <c r="DU157" i="4"/>
  <c r="DK157" i="4"/>
  <c r="DJ157" i="4"/>
  <c r="DI157" i="4"/>
  <c r="DH157" i="4"/>
  <c r="DG157" i="4"/>
  <c r="DF157" i="4"/>
  <c r="DE157" i="4"/>
  <c r="DD157" i="4"/>
  <c r="DC157" i="4"/>
  <c r="DB157" i="4"/>
  <c r="DA157" i="4"/>
  <c r="CZ157" i="4"/>
  <c r="CY157" i="4"/>
  <c r="CX157" i="4"/>
  <c r="CT157" i="4"/>
  <c r="CS157" i="4"/>
  <c r="CR157" i="4"/>
  <c r="CQ157" i="4"/>
  <c r="CP157" i="4"/>
  <c r="CO157" i="4"/>
  <c r="CN157" i="4"/>
  <c r="CM157" i="4"/>
  <c r="CL157" i="4"/>
  <c r="CK157" i="4"/>
  <c r="CJ157" i="4"/>
  <c r="CI157" i="4"/>
  <c r="CH157" i="4"/>
  <c r="CG157" i="4"/>
  <c r="BX157" i="4"/>
  <c r="BW157" i="4"/>
  <c r="BV157" i="4"/>
  <c r="BU157" i="4"/>
  <c r="BT157" i="4"/>
  <c r="BS157" i="4"/>
  <c r="BR157" i="4"/>
  <c r="BQ157" i="4"/>
  <c r="BP157" i="4"/>
  <c r="BO157" i="4"/>
  <c r="BN157" i="4"/>
  <c r="BM157" i="4"/>
  <c r="BL157" i="4"/>
  <c r="BK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EY155" i="4"/>
  <c r="EX155" i="4"/>
  <c r="EW155" i="4"/>
  <c r="EV155" i="4"/>
  <c r="EU155" i="4"/>
  <c r="ET155" i="4"/>
  <c r="ES155" i="4"/>
  <c r="ER155" i="4"/>
  <c r="EQ155" i="4"/>
  <c r="EP155" i="4"/>
  <c r="EO155" i="4"/>
  <c r="EN155" i="4"/>
  <c r="EM155" i="4"/>
  <c r="EL155" i="4"/>
  <c r="EH155" i="4"/>
  <c r="EG155" i="4"/>
  <c r="EF155" i="4"/>
  <c r="EE155" i="4"/>
  <c r="ED155" i="4"/>
  <c r="EC155" i="4"/>
  <c r="EB155" i="4"/>
  <c r="EA155" i="4"/>
  <c r="DZ155" i="4"/>
  <c r="DY155" i="4"/>
  <c r="DX155" i="4"/>
  <c r="DW155" i="4"/>
  <c r="DV155" i="4"/>
  <c r="DU155" i="4"/>
  <c r="DK155" i="4"/>
  <c r="DJ155" i="4"/>
  <c r="DI155" i="4"/>
  <c r="DH155" i="4"/>
  <c r="DG155" i="4"/>
  <c r="DF155" i="4"/>
  <c r="DE155" i="4"/>
  <c r="DD155" i="4"/>
  <c r="DC155" i="4"/>
  <c r="DB155" i="4"/>
  <c r="DA155" i="4"/>
  <c r="CZ155" i="4"/>
  <c r="CY155" i="4"/>
  <c r="CX155" i="4"/>
  <c r="CT155" i="4"/>
  <c r="CS155" i="4"/>
  <c r="CR155" i="4"/>
  <c r="CQ155" i="4"/>
  <c r="CP155" i="4"/>
  <c r="CO155" i="4"/>
  <c r="CN155" i="4"/>
  <c r="CM155" i="4"/>
  <c r="CL155" i="4"/>
  <c r="CK155" i="4"/>
  <c r="CJ155" i="4"/>
  <c r="CI155" i="4"/>
  <c r="CH155" i="4"/>
  <c r="CG155" i="4"/>
  <c r="BX155" i="4"/>
  <c r="BW155" i="4"/>
  <c r="BV155" i="4"/>
  <c r="BU155" i="4"/>
  <c r="BT155" i="4"/>
  <c r="BS155" i="4"/>
  <c r="BR155" i="4"/>
  <c r="BQ155" i="4"/>
  <c r="BP155" i="4"/>
  <c r="BO155" i="4"/>
  <c r="BN155" i="4"/>
  <c r="BM155" i="4"/>
  <c r="BL155" i="4"/>
  <c r="BK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EY154" i="4"/>
  <c r="EX154" i="4"/>
  <c r="EW154" i="4"/>
  <c r="EV154" i="4"/>
  <c r="EU154" i="4"/>
  <c r="ET154" i="4"/>
  <c r="ES154" i="4"/>
  <c r="ER154" i="4"/>
  <c r="EQ154" i="4"/>
  <c r="EP154" i="4"/>
  <c r="EO154" i="4"/>
  <c r="EN154" i="4"/>
  <c r="EM154" i="4"/>
  <c r="EL154" i="4"/>
  <c r="EH154" i="4"/>
  <c r="EG154" i="4"/>
  <c r="EF154" i="4"/>
  <c r="EE154" i="4"/>
  <c r="ED154" i="4"/>
  <c r="EC154" i="4"/>
  <c r="EB154" i="4"/>
  <c r="EA154" i="4"/>
  <c r="DZ154" i="4"/>
  <c r="DY154" i="4"/>
  <c r="DX154" i="4"/>
  <c r="DW154" i="4"/>
  <c r="DV154" i="4"/>
  <c r="DU154" i="4"/>
  <c r="DK154" i="4"/>
  <c r="DJ154" i="4"/>
  <c r="DI154" i="4"/>
  <c r="DH154" i="4"/>
  <c r="DG154" i="4"/>
  <c r="DF154" i="4"/>
  <c r="DE154" i="4"/>
  <c r="DD154" i="4"/>
  <c r="DC154" i="4"/>
  <c r="DB154" i="4"/>
  <c r="DA154" i="4"/>
  <c r="CZ154" i="4"/>
  <c r="CY154" i="4"/>
  <c r="CX154" i="4"/>
  <c r="CT154" i="4"/>
  <c r="CS154" i="4"/>
  <c r="CR154" i="4"/>
  <c r="CQ154" i="4"/>
  <c r="CP154" i="4"/>
  <c r="CO154" i="4"/>
  <c r="CN154" i="4"/>
  <c r="CM154" i="4"/>
  <c r="CL154" i="4"/>
  <c r="CK154" i="4"/>
  <c r="CJ154" i="4"/>
  <c r="CI154" i="4"/>
  <c r="CH154" i="4"/>
  <c r="CG154" i="4"/>
  <c r="BX154" i="4"/>
  <c r="BW154" i="4"/>
  <c r="BV154" i="4"/>
  <c r="BU154" i="4"/>
  <c r="BT154" i="4"/>
  <c r="BS154" i="4"/>
  <c r="BR154" i="4"/>
  <c r="BQ154" i="4"/>
  <c r="BP154" i="4"/>
  <c r="BO154" i="4"/>
  <c r="BN154" i="4"/>
  <c r="BM154" i="4"/>
  <c r="BL154" i="4"/>
  <c r="BK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EY153" i="4"/>
  <c r="EX153" i="4"/>
  <c r="EW153" i="4"/>
  <c r="EV153" i="4"/>
  <c r="EU153" i="4"/>
  <c r="ET153" i="4"/>
  <c r="ES153" i="4"/>
  <c r="ER153" i="4"/>
  <c r="EQ153" i="4"/>
  <c r="EP153" i="4"/>
  <c r="EO153" i="4"/>
  <c r="EN153" i="4"/>
  <c r="EM153" i="4"/>
  <c r="EL153" i="4"/>
  <c r="EH153" i="4"/>
  <c r="EG153" i="4"/>
  <c r="EF153" i="4"/>
  <c r="EE153" i="4"/>
  <c r="ED153" i="4"/>
  <c r="EC153" i="4"/>
  <c r="EB153" i="4"/>
  <c r="EA153" i="4"/>
  <c r="DZ153" i="4"/>
  <c r="DY153" i="4"/>
  <c r="DX153" i="4"/>
  <c r="DW153" i="4"/>
  <c r="DV153" i="4"/>
  <c r="DU153" i="4"/>
  <c r="DK153" i="4"/>
  <c r="DJ153" i="4"/>
  <c r="DI153" i="4"/>
  <c r="DH153" i="4"/>
  <c r="DG153" i="4"/>
  <c r="DF153" i="4"/>
  <c r="DE153" i="4"/>
  <c r="DD153" i="4"/>
  <c r="DC153" i="4"/>
  <c r="DB153" i="4"/>
  <c r="DA153" i="4"/>
  <c r="CZ153" i="4"/>
  <c r="CY153" i="4"/>
  <c r="CX153" i="4"/>
  <c r="CT153" i="4"/>
  <c r="CS153" i="4"/>
  <c r="CR153" i="4"/>
  <c r="CQ153" i="4"/>
  <c r="CP153" i="4"/>
  <c r="CO153" i="4"/>
  <c r="CN153" i="4"/>
  <c r="CM153" i="4"/>
  <c r="CL153" i="4"/>
  <c r="CK153" i="4"/>
  <c r="CJ153" i="4"/>
  <c r="CI153" i="4"/>
  <c r="CH153" i="4"/>
  <c r="CG153" i="4"/>
  <c r="BX153" i="4"/>
  <c r="BW153" i="4"/>
  <c r="BV153" i="4"/>
  <c r="BU153" i="4"/>
  <c r="BT153" i="4"/>
  <c r="BS153" i="4"/>
  <c r="BR153" i="4"/>
  <c r="BQ153" i="4"/>
  <c r="BP153" i="4"/>
  <c r="BO153" i="4"/>
  <c r="BN153" i="4"/>
  <c r="BM153" i="4"/>
  <c r="BL153" i="4"/>
  <c r="BK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EY152" i="4"/>
  <c r="EX152" i="4"/>
  <c r="EW152" i="4"/>
  <c r="EV152" i="4"/>
  <c r="EU152" i="4"/>
  <c r="ET152" i="4"/>
  <c r="ES152" i="4"/>
  <c r="ER152" i="4"/>
  <c r="EQ152" i="4"/>
  <c r="EP152" i="4"/>
  <c r="EO152" i="4"/>
  <c r="EN152" i="4"/>
  <c r="EM152" i="4"/>
  <c r="EL152" i="4"/>
  <c r="EH152" i="4"/>
  <c r="EG152" i="4"/>
  <c r="EF152" i="4"/>
  <c r="EE152" i="4"/>
  <c r="ED152" i="4"/>
  <c r="EC152" i="4"/>
  <c r="EB152" i="4"/>
  <c r="EA152" i="4"/>
  <c r="DZ152" i="4"/>
  <c r="DY152" i="4"/>
  <c r="DX152" i="4"/>
  <c r="DW152" i="4"/>
  <c r="DV152" i="4"/>
  <c r="DU152" i="4"/>
  <c r="DK152" i="4"/>
  <c r="DJ152" i="4"/>
  <c r="DI152" i="4"/>
  <c r="DH152" i="4"/>
  <c r="DG152" i="4"/>
  <c r="DF152" i="4"/>
  <c r="DE152" i="4"/>
  <c r="DD152" i="4"/>
  <c r="DC152" i="4"/>
  <c r="DB152" i="4"/>
  <c r="DA152" i="4"/>
  <c r="CZ152" i="4"/>
  <c r="CY152" i="4"/>
  <c r="CX152" i="4"/>
  <c r="CT152" i="4"/>
  <c r="CS152" i="4"/>
  <c r="CR152" i="4"/>
  <c r="CQ152" i="4"/>
  <c r="CP152" i="4"/>
  <c r="CO152" i="4"/>
  <c r="CN152" i="4"/>
  <c r="CM152" i="4"/>
  <c r="CL152" i="4"/>
  <c r="CK152" i="4"/>
  <c r="CJ152" i="4"/>
  <c r="CI152" i="4"/>
  <c r="CH152" i="4"/>
  <c r="CG152" i="4"/>
  <c r="BX152" i="4"/>
  <c r="BW152" i="4"/>
  <c r="BV152" i="4"/>
  <c r="BU152" i="4"/>
  <c r="BT152" i="4"/>
  <c r="BS152" i="4"/>
  <c r="BR152" i="4"/>
  <c r="BQ152" i="4"/>
  <c r="BP152" i="4"/>
  <c r="BO152" i="4"/>
  <c r="BN152" i="4"/>
  <c r="BM152" i="4"/>
  <c r="BL152" i="4"/>
  <c r="BK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EY151" i="4"/>
  <c r="EX151" i="4"/>
  <c r="EW151" i="4"/>
  <c r="EV151" i="4"/>
  <c r="EU151" i="4"/>
  <c r="ET151" i="4"/>
  <c r="ES151" i="4"/>
  <c r="ER151" i="4"/>
  <c r="EQ151" i="4"/>
  <c r="EP151" i="4"/>
  <c r="EO151" i="4"/>
  <c r="EN151" i="4"/>
  <c r="EM151" i="4"/>
  <c r="EL151" i="4"/>
  <c r="EH151" i="4"/>
  <c r="EG151" i="4"/>
  <c r="EF151" i="4"/>
  <c r="EE151" i="4"/>
  <c r="ED151" i="4"/>
  <c r="EC151" i="4"/>
  <c r="EB151" i="4"/>
  <c r="EA151" i="4"/>
  <c r="DZ151" i="4"/>
  <c r="DY151" i="4"/>
  <c r="DX151" i="4"/>
  <c r="DW151" i="4"/>
  <c r="DV151" i="4"/>
  <c r="DU151" i="4"/>
  <c r="DK151" i="4"/>
  <c r="DJ151" i="4"/>
  <c r="DI151" i="4"/>
  <c r="DH151" i="4"/>
  <c r="DG151" i="4"/>
  <c r="DF151" i="4"/>
  <c r="DE151" i="4"/>
  <c r="DD151" i="4"/>
  <c r="DC151" i="4"/>
  <c r="DB151" i="4"/>
  <c r="DA151" i="4"/>
  <c r="CZ151" i="4"/>
  <c r="CY151" i="4"/>
  <c r="CX151" i="4"/>
  <c r="CT151" i="4"/>
  <c r="CS151" i="4"/>
  <c r="CR151" i="4"/>
  <c r="CQ151" i="4"/>
  <c r="CP151" i="4"/>
  <c r="CO151" i="4"/>
  <c r="CN151" i="4"/>
  <c r="CM151" i="4"/>
  <c r="CL151" i="4"/>
  <c r="CK151" i="4"/>
  <c r="CJ151" i="4"/>
  <c r="CI151" i="4"/>
  <c r="CH151" i="4"/>
  <c r="CG151" i="4"/>
  <c r="BX151" i="4"/>
  <c r="BW151" i="4"/>
  <c r="BV151" i="4"/>
  <c r="BU151" i="4"/>
  <c r="BT151" i="4"/>
  <c r="BS151" i="4"/>
  <c r="BR151" i="4"/>
  <c r="BQ151" i="4"/>
  <c r="BP151" i="4"/>
  <c r="BO151" i="4"/>
  <c r="BN151" i="4"/>
  <c r="BM151" i="4"/>
  <c r="BL151" i="4"/>
  <c r="BK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EY150" i="4"/>
  <c r="EX150" i="4"/>
  <c r="EW150" i="4"/>
  <c r="EV150" i="4"/>
  <c r="EU150" i="4"/>
  <c r="ET150" i="4"/>
  <c r="ES150" i="4"/>
  <c r="ER150" i="4"/>
  <c r="EQ150" i="4"/>
  <c r="EP150" i="4"/>
  <c r="EO150" i="4"/>
  <c r="EN150" i="4"/>
  <c r="EM150" i="4"/>
  <c r="EL150" i="4"/>
  <c r="EH150" i="4"/>
  <c r="EG150" i="4"/>
  <c r="EF150" i="4"/>
  <c r="EE150" i="4"/>
  <c r="ED150" i="4"/>
  <c r="EC150" i="4"/>
  <c r="EB150" i="4"/>
  <c r="EA150" i="4"/>
  <c r="DZ150" i="4"/>
  <c r="DY150" i="4"/>
  <c r="DX150" i="4"/>
  <c r="DW150" i="4"/>
  <c r="DV150" i="4"/>
  <c r="DU150" i="4"/>
  <c r="DK150" i="4"/>
  <c r="DJ150" i="4"/>
  <c r="DI150" i="4"/>
  <c r="DH150" i="4"/>
  <c r="DG150" i="4"/>
  <c r="DF150" i="4"/>
  <c r="DE150" i="4"/>
  <c r="DD150" i="4"/>
  <c r="DC150" i="4"/>
  <c r="DB150" i="4"/>
  <c r="DA150" i="4"/>
  <c r="CZ150" i="4"/>
  <c r="CY150" i="4"/>
  <c r="CX150" i="4"/>
  <c r="CT150" i="4"/>
  <c r="CS150" i="4"/>
  <c r="CR150" i="4"/>
  <c r="CQ150" i="4"/>
  <c r="CP150" i="4"/>
  <c r="CO150" i="4"/>
  <c r="CN150" i="4"/>
  <c r="CM150" i="4"/>
  <c r="CL150" i="4"/>
  <c r="CK150" i="4"/>
  <c r="CJ150" i="4"/>
  <c r="CI150" i="4"/>
  <c r="CH150" i="4"/>
  <c r="CG150" i="4"/>
  <c r="BX150" i="4"/>
  <c r="BW150" i="4"/>
  <c r="BV150" i="4"/>
  <c r="BU150" i="4"/>
  <c r="BT150" i="4"/>
  <c r="BS150" i="4"/>
  <c r="BR150" i="4"/>
  <c r="BQ150" i="4"/>
  <c r="BP150" i="4"/>
  <c r="BO150" i="4"/>
  <c r="BN150" i="4"/>
  <c r="BM150" i="4"/>
  <c r="BL150" i="4"/>
  <c r="BK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EY149" i="4"/>
  <c r="EX149" i="4"/>
  <c r="EW149" i="4"/>
  <c r="EV149" i="4"/>
  <c r="EU149" i="4"/>
  <c r="ET149" i="4"/>
  <c r="ES149" i="4"/>
  <c r="ER149" i="4"/>
  <c r="EQ149" i="4"/>
  <c r="EP149" i="4"/>
  <c r="EO149" i="4"/>
  <c r="EN149" i="4"/>
  <c r="EM149" i="4"/>
  <c r="EL149" i="4"/>
  <c r="EH149" i="4"/>
  <c r="EG149" i="4"/>
  <c r="EF149" i="4"/>
  <c r="EE149" i="4"/>
  <c r="ED149" i="4"/>
  <c r="EC149" i="4"/>
  <c r="EB149" i="4"/>
  <c r="EA149" i="4"/>
  <c r="DZ149" i="4"/>
  <c r="DY149" i="4"/>
  <c r="DX149" i="4"/>
  <c r="DW149" i="4"/>
  <c r="DV149" i="4"/>
  <c r="DU149" i="4"/>
  <c r="DK149" i="4"/>
  <c r="DJ149" i="4"/>
  <c r="DI149" i="4"/>
  <c r="DH149" i="4"/>
  <c r="DG149" i="4"/>
  <c r="DF149" i="4"/>
  <c r="DE149" i="4"/>
  <c r="DD149" i="4"/>
  <c r="DC149" i="4"/>
  <c r="DB149" i="4"/>
  <c r="DA149" i="4"/>
  <c r="CZ149" i="4"/>
  <c r="CY149" i="4"/>
  <c r="CX149" i="4"/>
  <c r="CT149" i="4"/>
  <c r="CS149" i="4"/>
  <c r="CR149" i="4"/>
  <c r="CQ149" i="4"/>
  <c r="CP149" i="4"/>
  <c r="CO149" i="4"/>
  <c r="CN149" i="4"/>
  <c r="CM149" i="4"/>
  <c r="CL149" i="4"/>
  <c r="CK149" i="4"/>
  <c r="CJ149" i="4"/>
  <c r="CI149" i="4"/>
  <c r="CH149" i="4"/>
  <c r="CG149" i="4"/>
  <c r="BX149" i="4"/>
  <c r="BW149" i="4"/>
  <c r="BV149" i="4"/>
  <c r="BU149" i="4"/>
  <c r="BT149" i="4"/>
  <c r="BS149" i="4"/>
  <c r="BR149" i="4"/>
  <c r="BQ149" i="4"/>
  <c r="BP149" i="4"/>
  <c r="BO149" i="4"/>
  <c r="BN149" i="4"/>
  <c r="BM149" i="4"/>
  <c r="BL149" i="4"/>
  <c r="BK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EY148" i="4"/>
  <c r="EX148" i="4"/>
  <c r="EW148" i="4"/>
  <c r="EV148" i="4"/>
  <c r="EU148" i="4"/>
  <c r="ET148" i="4"/>
  <c r="ES148" i="4"/>
  <c r="ER148" i="4"/>
  <c r="EQ148" i="4"/>
  <c r="EP148" i="4"/>
  <c r="EO148" i="4"/>
  <c r="EN148" i="4"/>
  <c r="EM148" i="4"/>
  <c r="EG148" i="4"/>
  <c r="EF148" i="4"/>
  <c r="EE148" i="4"/>
  <c r="ED148" i="4"/>
  <c r="EC148" i="4"/>
  <c r="EB148" i="4"/>
  <c r="EA148" i="4"/>
  <c r="DZ148" i="4"/>
  <c r="DY148" i="4"/>
  <c r="DX148" i="4"/>
  <c r="DW148" i="4"/>
  <c r="DV148" i="4"/>
  <c r="DU148" i="4"/>
  <c r="DK148" i="4"/>
  <c r="DJ148" i="4"/>
  <c r="DI148" i="4"/>
  <c r="DH148" i="4"/>
  <c r="DG148" i="4"/>
  <c r="DF148" i="4"/>
  <c r="DE148" i="4"/>
  <c r="DD148" i="4"/>
  <c r="DC148" i="4"/>
  <c r="DB148" i="4"/>
  <c r="DA148" i="4"/>
  <c r="CZ148" i="4"/>
  <c r="CY148" i="4"/>
  <c r="CS148" i="4"/>
  <c r="CR148" i="4"/>
  <c r="CQ148" i="4"/>
  <c r="CP148" i="4"/>
  <c r="CO148" i="4"/>
  <c r="CN148" i="4"/>
  <c r="CM148" i="4"/>
  <c r="CL148" i="4"/>
  <c r="CK148" i="4"/>
  <c r="CJ148" i="4"/>
  <c r="CI148" i="4"/>
  <c r="CH148" i="4"/>
  <c r="CG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EY147" i="4"/>
  <c r="EX147" i="4"/>
  <c r="EW147" i="4"/>
  <c r="EV147" i="4"/>
  <c r="EU147" i="4"/>
  <c r="ET147" i="4"/>
  <c r="ES147" i="4"/>
  <c r="ER147" i="4"/>
  <c r="EQ147" i="4"/>
  <c r="EP147" i="4"/>
  <c r="EO147" i="4"/>
  <c r="EN147" i="4"/>
  <c r="EM147" i="4"/>
  <c r="EG147" i="4"/>
  <c r="EF147" i="4"/>
  <c r="EE147" i="4"/>
  <c r="ED147" i="4"/>
  <c r="EC147" i="4"/>
  <c r="EB147" i="4"/>
  <c r="EA147" i="4"/>
  <c r="DZ147" i="4"/>
  <c r="DY147" i="4"/>
  <c r="DX147" i="4"/>
  <c r="DW147" i="4"/>
  <c r="DV147" i="4"/>
  <c r="DU147" i="4"/>
  <c r="DK147" i="4"/>
  <c r="DJ147" i="4"/>
  <c r="DI147" i="4"/>
  <c r="DH147" i="4"/>
  <c r="DG147" i="4"/>
  <c r="DF147" i="4"/>
  <c r="DE147" i="4"/>
  <c r="DD147" i="4"/>
  <c r="DC147" i="4"/>
  <c r="DB147" i="4"/>
  <c r="DA147" i="4"/>
  <c r="CZ147" i="4"/>
  <c r="CY147" i="4"/>
  <c r="CS147" i="4"/>
  <c r="CR147" i="4"/>
  <c r="CQ147" i="4"/>
  <c r="CP147" i="4"/>
  <c r="CO147" i="4"/>
  <c r="CN147" i="4"/>
  <c r="CM147" i="4"/>
  <c r="CL147" i="4"/>
  <c r="CK147" i="4"/>
  <c r="CJ147" i="4"/>
  <c r="CI147" i="4"/>
  <c r="CH147" i="4"/>
  <c r="CG147" i="4"/>
  <c r="BX147" i="4"/>
  <c r="BW147" i="4"/>
  <c r="BV147" i="4"/>
  <c r="BU147" i="4"/>
  <c r="BT147" i="4"/>
  <c r="BS147" i="4"/>
  <c r="BR147" i="4"/>
  <c r="BQ147" i="4"/>
  <c r="BP147" i="4"/>
  <c r="BO147" i="4"/>
  <c r="BN147" i="4"/>
  <c r="BM147" i="4"/>
  <c r="BL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EY145" i="4"/>
  <c r="EX145" i="4"/>
  <c r="EW145" i="4"/>
  <c r="EV145" i="4"/>
  <c r="EU145" i="4"/>
  <c r="ET145" i="4"/>
  <c r="ES145" i="4"/>
  <c r="ER145" i="4"/>
  <c r="EQ145" i="4"/>
  <c r="EP145" i="4"/>
  <c r="EO145" i="4"/>
  <c r="EE145" i="4"/>
  <c r="ED145" i="4"/>
  <c r="EC145" i="4"/>
  <c r="EB145" i="4"/>
  <c r="EA145" i="4"/>
  <c r="DZ145" i="4"/>
  <c r="DY145" i="4"/>
  <c r="DX145" i="4"/>
  <c r="DW145" i="4"/>
  <c r="DV145" i="4"/>
  <c r="DU145" i="4"/>
  <c r="DK145" i="4"/>
  <c r="DJ145" i="4"/>
  <c r="DI145" i="4"/>
  <c r="DH145" i="4"/>
  <c r="DG145" i="4"/>
  <c r="DF145" i="4"/>
  <c r="DE145" i="4"/>
  <c r="DD145" i="4"/>
  <c r="DC145" i="4"/>
  <c r="DB145" i="4"/>
  <c r="DA145" i="4"/>
  <c r="CQ145" i="4"/>
  <c r="CP145" i="4"/>
  <c r="CO145" i="4"/>
  <c r="CN145" i="4"/>
  <c r="CM145" i="4"/>
  <c r="CL145" i="4"/>
  <c r="CK145" i="4"/>
  <c r="CJ145" i="4"/>
  <c r="CI145" i="4"/>
  <c r="CH145" i="4"/>
  <c r="CG145" i="4"/>
  <c r="BX145" i="4"/>
  <c r="BW145" i="4"/>
  <c r="BV145" i="4"/>
  <c r="BU145" i="4"/>
  <c r="BT145" i="4"/>
  <c r="BS145" i="4"/>
  <c r="BR145" i="4"/>
  <c r="BQ145" i="4"/>
  <c r="BP145" i="4"/>
  <c r="BO145" i="4"/>
  <c r="BN145" i="4"/>
  <c r="BD145" i="4"/>
  <c r="BC145" i="4"/>
  <c r="BB145" i="4"/>
  <c r="BA145" i="4"/>
  <c r="AZ145" i="4"/>
  <c r="AY145" i="4"/>
  <c r="AX145" i="4"/>
  <c r="AW145" i="4"/>
  <c r="AV145" i="4"/>
  <c r="AU145" i="4"/>
  <c r="AT145" i="4"/>
  <c r="AK145" i="4"/>
  <c r="AJ145" i="4"/>
  <c r="AI145" i="4"/>
  <c r="AH145" i="4"/>
  <c r="AG145" i="4"/>
  <c r="AF145" i="4"/>
  <c r="AE145" i="4"/>
  <c r="AD145" i="4"/>
  <c r="AC145" i="4"/>
  <c r="AB145" i="4"/>
  <c r="AA145" i="4"/>
  <c r="Q145" i="4"/>
  <c r="P145" i="4"/>
  <c r="O145" i="4"/>
  <c r="N145" i="4"/>
  <c r="M145" i="4"/>
  <c r="L145" i="4"/>
  <c r="K145" i="4"/>
  <c r="J145" i="4"/>
  <c r="I145" i="4"/>
  <c r="H145" i="4"/>
  <c r="G145" i="4"/>
  <c r="EY144" i="4"/>
  <c r="EX144" i="4"/>
  <c r="EW144" i="4"/>
  <c r="EV144" i="4"/>
  <c r="EU144" i="4"/>
  <c r="ET144" i="4"/>
  <c r="ES144" i="4"/>
  <c r="ER144" i="4"/>
  <c r="EQ144" i="4"/>
  <c r="EP144" i="4"/>
  <c r="ED144" i="4"/>
  <c r="EC144" i="4"/>
  <c r="EB144" i="4"/>
  <c r="EA144" i="4"/>
  <c r="DZ144" i="4"/>
  <c r="DY144" i="4"/>
  <c r="DX144" i="4"/>
  <c r="DW144" i="4"/>
  <c r="DV144" i="4"/>
  <c r="DU144" i="4"/>
  <c r="DK144" i="4"/>
  <c r="DJ144" i="4"/>
  <c r="DI144" i="4"/>
  <c r="DH144" i="4"/>
  <c r="DG144" i="4"/>
  <c r="DF144" i="4"/>
  <c r="DE144" i="4"/>
  <c r="DD144" i="4"/>
  <c r="DC144" i="4"/>
  <c r="DB144" i="4"/>
  <c r="CP144" i="4"/>
  <c r="CO144" i="4"/>
  <c r="CN144" i="4"/>
  <c r="CM144" i="4"/>
  <c r="CL144" i="4"/>
  <c r="CK144" i="4"/>
  <c r="CJ144" i="4"/>
  <c r="CI144" i="4"/>
  <c r="CH144" i="4"/>
  <c r="CG144" i="4"/>
  <c r="BX144" i="4"/>
  <c r="BW144" i="4"/>
  <c r="BV144" i="4"/>
  <c r="BU144" i="4"/>
  <c r="BT144" i="4"/>
  <c r="BS144" i="4"/>
  <c r="BR144" i="4"/>
  <c r="BQ144" i="4"/>
  <c r="BP144" i="4"/>
  <c r="BO144" i="4"/>
  <c r="BC144" i="4"/>
  <c r="BB144" i="4"/>
  <c r="BA144" i="4"/>
  <c r="AZ144" i="4"/>
  <c r="AY144" i="4"/>
  <c r="AX144" i="4"/>
  <c r="AW144" i="4"/>
  <c r="AV144" i="4"/>
  <c r="AU144" i="4"/>
  <c r="AT144" i="4"/>
  <c r="AK144" i="4"/>
  <c r="AJ144" i="4"/>
  <c r="AI144" i="4"/>
  <c r="AH144" i="4"/>
  <c r="AG144" i="4"/>
  <c r="AF144" i="4"/>
  <c r="AE144" i="4"/>
  <c r="AD144" i="4"/>
  <c r="AC144" i="4"/>
  <c r="AB144" i="4"/>
  <c r="P144" i="4"/>
  <c r="O144" i="4"/>
  <c r="N144" i="4"/>
  <c r="M144" i="4"/>
  <c r="L144" i="4"/>
  <c r="K144" i="4"/>
  <c r="J144" i="4"/>
  <c r="I144" i="4"/>
  <c r="H144" i="4"/>
  <c r="G144" i="4"/>
  <c r="EY143" i="4"/>
  <c r="EX143" i="4"/>
  <c r="EW143" i="4"/>
  <c r="EV143" i="4"/>
  <c r="EU143" i="4"/>
  <c r="ET143" i="4"/>
  <c r="ES143" i="4"/>
  <c r="ER143" i="4"/>
  <c r="EQ143" i="4"/>
  <c r="EP143" i="4"/>
  <c r="ED143" i="4"/>
  <c r="EC143" i="4"/>
  <c r="EB143" i="4"/>
  <c r="EA143" i="4"/>
  <c r="DZ143" i="4"/>
  <c r="DY143" i="4"/>
  <c r="DX143" i="4"/>
  <c r="DW143" i="4"/>
  <c r="DV143" i="4"/>
  <c r="DU143" i="4"/>
  <c r="DK143" i="4"/>
  <c r="DJ143" i="4"/>
  <c r="DI143" i="4"/>
  <c r="DH143" i="4"/>
  <c r="DG143" i="4"/>
  <c r="DF143" i="4"/>
  <c r="DE143" i="4"/>
  <c r="DD143" i="4"/>
  <c r="DC143" i="4"/>
  <c r="DB143" i="4"/>
  <c r="CP143" i="4"/>
  <c r="CO143" i="4"/>
  <c r="CN143" i="4"/>
  <c r="CM143" i="4"/>
  <c r="CL143" i="4"/>
  <c r="CK143" i="4"/>
  <c r="CJ143" i="4"/>
  <c r="CI143" i="4"/>
  <c r="CH143" i="4"/>
  <c r="CG143" i="4"/>
  <c r="BX143" i="4"/>
  <c r="BW143" i="4"/>
  <c r="BV143" i="4"/>
  <c r="BU143" i="4"/>
  <c r="BT143" i="4"/>
  <c r="BS143" i="4"/>
  <c r="BR143" i="4"/>
  <c r="BQ143" i="4"/>
  <c r="BP143" i="4"/>
  <c r="BO143" i="4"/>
  <c r="BC143" i="4"/>
  <c r="BB143" i="4"/>
  <c r="BA143" i="4"/>
  <c r="AZ143" i="4"/>
  <c r="AY143" i="4"/>
  <c r="AX143" i="4"/>
  <c r="AW143" i="4"/>
  <c r="AV143" i="4"/>
  <c r="AU143" i="4"/>
  <c r="AT143" i="4"/>
  <c r="AK143" i="4"/>
  <c r="AJ143" i="4"/>
  <c r="AI143" i="4"/>
  <c r="AH143" i="4"/>
  <c r="AG143" i="4"/>
  <c r="AF143" i="4"/>
  <c r="AE143" i="4"/>
  <c r="AD143" i="4"/>
  <c r="AC143" i="4"/>
  <c r="AB143" i="4"/>
  <c r="P143" i="4"/>
  <c r="O143" i="4"/>
  <c r="N143" i="4"/>
  <c r="M143" i="4"/>
  <c r="L143" i="4"/>
  <c r="K143" i="4"/>
  <c r="J143" i="4"/>
  <c r="I143" i="4"/>
  <c r="H143" i="4"/>
  <c r="G143" i="4"/>
  <c r="EY142" i="4"/>
  <c r="EX142" i="4"/>
  <c r="EW142" i="4"/>
  <c r="EV142" i="4"/>
  <c r="EU142" i="4"/>
  <c r="ET142" i="4"/>
  <c r="ES142" i="4"/>
  <c r="ER142" i="4"/>
  <c r="EQ142" i="4"/>
  <c r="EC142" i="4"/>
  <c r="EB142" i="4"/>
  <c r="EA142" i="4"/>
  <c r="DZ142" i="4"/>
  <c r="DY142" i="4"/>
  <c r="DX142" i="4"/>
  <c r="DW142" i="4"/>
  <c r="DV142" i="4"/>
  <c r="DU142" i="4"/>
  <c r="DK142" i="4"/>
  <c r="DJ142" i="4"/>
  <c r="DI142" i="4"/>
  <c r="DH142" i="4"/>
  <c r="DG142" i="4"/>
  <c r="DF142" i="4"/>
  <c r="DE142" i="4"/>
  <c r="DD142" i="4"/>
  <c r="DC142" i="4"/>
  <c r="CO142" i="4"/>
  <c r="CN142" i="4"/>
  <c r="CM142" i="4"/>
  <c r="CL142" i="4"/>
  <c r="CK142" i="4"/>
  <c r="CJ142" i="4"/>
  <c r="CI142" i="4"/>
  <c r="CH142" i="4"/>
  <c r="CG142" i="4"/>
  <c r="BX142" i="4"/>
  <c r="BW142" i="4"/>
  <c r="BV142" i="4"/>
  <c r="BU142" i="4"/>
  <c r="BT142" i="4"/>
  <c r="BS142" i="4"/>
  <c r="BR142" i="4"/>
  <c r="BQ142" i="4"/>
  <c r="BP142" i="4"/>
  <c r="BB142" i="4"/>
  <c r="BA142" i="4"/>
  <c r="AZ142" i="4"/>
  <c r="AY142" i="4"/>
  <c r="AX142" i="4"/>
  <c r="AW142" i="4"/>
  <c r="AV142" i="4"/>
  <c r="AU142" i="4"/>
  <c r="AT142" i="4"/>
  <c r="AK142" i="4"/>
  <c r="AJ142" i="4"/>
  <c r="AI142" i="4"/>
  <c r="AH142" i="4"/>
  <c r="AG142" i="4"/>
  <c r="AF142" i="4"/>
  <c r="AE142" i="4"/>
  <c r="AD142" i="4"/>
  <c r="AC142" i="4"/>
  <c r="O142" i="4"/>
  <c r="N142" i="4"/>
  <c r="M142" i="4"/>
  <c r="L142" i="4"/>
  <c r="K142" i="4"/>
  <c r="J142" i="4"/>
  <c r="I142" i="4"/>
  <c r="H142" i="4"/>
  <c r="G142" i="4"/>
  <c r="EY141" i="4"/>
  <c r="EX141" i="4"/>
  <c r="EW141" i="4"/>
  <c r="EV141" i="4"/>
  <c r="EU141" i="4"/>
  <c r="ET141" i="4"/>
  <c r="ES141" i="4"/>
  <c r="ER141" i="4"/>
  <c r="EQ141" i="4"/>
  <c r="EC141" i="4"/>
  <c r="EB141" i="4"/>
  <c r="EA141" i="4"/>
  <c r="DZ141" i="4"/>
  <c r="DY141" i="4"/>
  <c r="DX141" i="4"/>
  <c r="DW141" i="4"/>
  <c r="DV141" i="4"/>
  <c r="DU141" i="4"/>
  <c r="DK141" i="4"/>
  <c r="DJ141" i="4"/>
  <c r="DI141" i="4"/>
  <c r="DH141" i="4"/>
  <c r="DG141" i="4"/>
  <c r="DF141" i="4"/>
  <c r="DE141" i="4"/>
  <c r="DD141" i="4"/>
  <c r="DC141" i="4"/>
  <c r="CO141" i="4"/>
  <c r="CN141" i="4"/>
  <c r="CM141" i="4"/>
  <c r="CL141" i="4"/>
  <c r="CK141" i="4"/>
  <c r="CJ141" i="4"/>
  <c r="CI141" i="4"/>
  <c r="CH141" i="4"/>
  <c r="CG141" i="4"/>
  <c r="BX141" i="4"/>
  <c r="BW141" i="4"/>
  <c r="BV141" i="4"/>
  <c r="BU141" i="4"/>
  <c r="BT141" i="4"/>
  <c r="BS141" i="4"/>
  <c r="BR141" i="4"/>
  <c r="BQ141" i="4"/>
  <c r="BP141" i="4"/>
  <c r="BB141" i="4"/>
  <c r="BA141" i="4"/>
  <c r="AZ141" i="4"/>
  <c r="AY141" i="4"/>
  <c r="AX141" i="4"/>
  <c r="AW141" i="4"/>
  <c r="AV141" i="4"/>
  <c r="AU141" i="4"/>
  <c r="AT141" i="4"/>
  <c r="AK141" i="4"/>
  <c r="AJ141" i="4"/>
  <c r="AI141" i="4"/>
  <c r="AH141" i="4"/>
  <c r="AG141" i="4"/>
  <c r="AF141" i="4"/>
  <c r="AE141" i="4"/>
  <c r="AD141" i="4"/>
  <c r="AC141" i="4"/>
  <c r="O141" i="4"/>
  <c r="N141" i="4"/>
  <c r="M141" i="4"/>
  <c r="L141" i="4"/>
  <c r="K141" i="4"/>
  <c r="J141" i="4"/>
  <c r="I141" i="4"/>
  <c r="H141" i="4"/>
  <c r="G141" i="4"/>
  <c r="EY140" i="4"/>
  <c r="EX140" i="4"/>
  <c r="EW140" i="4"/>
  <c r="EV140" i="4"/>
  <c r="EU140" i="4"/>
  <c r="ET140" i="4"/>
  <c r="ES140" i="4"/>
  <c r="ER140" i="4"/>
  <c r="EQ140" i="4"/>
  <c r="EC140" i="4"/>
  <c r="EB140" i="4"/>
  <c r="EA140" i="4"/>
  <c r="DZ140" i="4"/>
  <c r="DY140" i="4"/>
  <c r="DX140" i="4"/>
  <c r="DW140" i="4"/>
  <c r="DV140" i="4"/>
  <c r="DU140" i="4"/>
  <c r="DK140" i="4"/>
  <c r="DJ140" i="4"/>
  <c r="DI140" i="4"/>
  <c r="DH140" i="4"/>
  <c r="DG140" i="4"/>
  <c r="DF140" i="4"/>
  <c r="DE140" i="4"/>
  <c r="DD140" i="4"/>
  <c r="DC140" i="4"/>
  <c r="CO140" i="4"/>
  <c r="CN140" i="4"/>
  <c r="CM140" i="4"/>
  <c r="CL140" i="4"/>
  <c r="CK140" i="4"/>
  <c r="CJ140" i="4"/>
  <c r="CI140" i="4"/>
  <c r="CH140" i="4"/>
  <c r="CG140" i="4"/>
  <c r="BX140" i="4"/>
  <c r="BW140" i="4"/>
  <c r="BV140" i="4"/>
  <c r="BU140" i="4"/>
  <c r="BT140" i="4"/>
  <c r="BS140" i="4"/>
  <c r="BR140" i="4"/>
  <c r="BQ140" i="4"/>
  <c r="BP140" i="4"/>
  <c r="BB140" i="4"/>
  <c r="BA140" i="4"/>
  <c r="AZ140" i="4"/>
  <c r="AY140" i="4"/>
  <c r="AX140" i="4"/>
  <c r="AW140" i="4"/>
  <c r="AV140" i="4"/>
  <c r="AU140" i="4"/>
  <c r="AT140" i="4"/>
  <c r="AK140" i="4"/>
  <c r="AJ140" i="4"/>
  <c r="AI140" i="4"/>
  <c r="AH140" i="4"/>
  <c r="AG140" i="4"/>
  <c r="AF140" i="4"/>
  <c r="AE140" i="4"/>
  <c r="AD140" i="4"/>
  <c r="AC140" i="4"/>
  <c r="O140" i="4"/>
  <c r="N140" i="4"/>
  <c r="M140" i="4"/>
  <c r="L140" i="4"/>
  <c r="K140" i="4"/>
  <c r="J140" i="4"/>
  <c r="I140" i="4"/>
  <c r="H140" i="4"/>
  <c r="G140" i="4"/>
  <c r="EY139" i="4"/>
  <c r="EX139" i="4"/>
  <c r="EW139" i="4"/>
  <c r="EV139" i="4"/>
  <c r="EU139" i="4"/>
  <c r="ET139" i="4"/>
  <c r="ES139" i="4"/>
  <c r="ER139" i="4"/>
  <c r="EQ139" i="4"/>
  <c r="EC139" i="4"/>
  <c r="EB139" i="4"/>
  <c r="EA139" i="4"/>
  <c r="DZ139" i="4"/>
  <c r="DY139" i="4"/>
  <c r="DX139" i="4"/>
  <c r="DW139" i="4"/>
  <c r="DV139" i="4"/>
  <c r="DU139" i="4"/>
  <c r="DK139" i="4"/>
  <c r="DJ139" i="4"/>
  <c r="DI139" i="4"/>
  <c r="DH139" i="4"/>
  <c r="DG139" i="4"/>
  <c r="DF139" i="4"/>
  <c r="DE139" i="4"/>
  <c r="DD139" i="4"/>
  <c r="DC139" i="4"/>
  <c r="CO139" i="4"/>
  <c r="CN139" i="4"/>
  <c r="CM139" i="4"/>
  <c r="CL139" i="4"/>
  <c r="CK139" i="4"/>
  <c r="CJ139" i="4"/>
  <c r="CI139" i="4"/>
  <c r="CH139" i="4"/>
  <c r="CG139" i="4"/>
  <c r="BX139" i="4"/>
  <c r="BW139" i="4"/>
  <c r="BV139" i="4"/>
  <c r="BU139" i="4"/>
  <c r="BT139" i="4"/>
  <c r="BS139" i="4"/>
  <c r="BR139" i="4"/>
  <c r="BQ139" i="4"/>
  <c r="BP139" i="4"/>
  <c r="BB139" i="4"/>
  <c r="BA139" i="4"/>
  <c r="AZ139" i="4"/>
  <c r="AY139" i="4"/>
  <c r="AX139" i="4"/>
  <c r="AW139" i="4"/>
  <c r="AV139" i="4"/>
  <c r="AU139" i="4"/>
  <c r="AT139" i="4"/>
  <c r="AK139" i="4"/>
  <c r="AJ139" i="4"/>
  <c r="AI139" i="4"/>
  <c r="AH139" i="4"/>
  <c r="AG139" i="4"/>
  <c r="AF139" i="4"/>
  <c r="AE139" i="4"/>
  <c r="AD139" i="4"/>
  <c r="AC139" i="4"/>
  <c r="O139" i="4"/>
  <c r="N139" i="4"/>
  <c r="M139" i="4"/>
  <c r="L139" i="4"/>
  <c r="K139" i="4"/>
  <c r="J139" i="4"/>
  <c r="I139" i="4"/>
  <c r="H139" i="4"/>
  <c r="G139" i="4"/>
  <c r="EY138" i="4"/>
  <c r="EX138" i="4"/>
  <c r="EW138" i="4"/>
  <c r="EV138" i="4"/>
  <c r="EU138" i="4"/>
  <c r="ET138" i="4"/>
  <c r="ES138" i="4"/>
  <c r="ER138" i="4"/>
  <c r="EQ138" i="4"/>
  <c r="EP138" i="4"/>
  <c r="EO138" i="4"/>
  <c r="EN138" i="4"/>
  <c r="EM138" i="4"/>
  <c r="EL138" i="4"/>
  <c r="EK138" i="4"/>
  <c r="EJ138" i="4"/>
  <c r="EI138" i="4"/>
  <c r="EH138" i="4"/>
  <c r="EG138" i="4"/>
  <c r="EF138" i="4"/>
  <c r="EE138" i="4"/>
  <c r="ED138" i="4"/>
  <c r="EC138" i="4"/>
  <c r="EB138" i="4"/>
  <c r="EA138" i="4"/>
  <c r="DZ138" i="4"/>
  <c r="DY138" i="4"/>
  <c r="DX138" i="4"/>
  <c r="DW138" i="4"/>
  <c r="DV138" i="4"/>
  <c r="DU138" i="4"/>
  <c r="DK138" i="4"/>
  <c r="DJ138" i="4"/>
  <c r="DI138" i="4"/>
  <c r="DH138" i="4"/>
  <c r="DG138" i="4"/>
  <c r="DF138" i="4"/>
  <c r="DE138" i="4"/>
  <c r="DD138" i="4"/>
  <c r="DC138" i="4"/>
  <c r="CO138" i="4"/>
  <c r="CN138" i="4"/>
  <c r="CM138" i="4"/>
  <c r="CL138" i="4"/>
  <c r="CK138" i="4"/>
  <c r="CJ138" i="4"/>
  <c r="CI138" i="4"/>
  <c r="CH138" i="4"/>
  <c r="CG138" i="4"/>
  <c r="BX138" i="4"/>
  <c r="BW138" i="4"/>
  <c r="BV138" i="4"/>
  <c r="BU138" i="4"/>
  <c r="BT138" i="4"/>
  <c r="BS138" i="4"/>
  <c r="BR138" i="4"/>
  <c r="BQ138" i="4"/>
  <c r="BP138" i="4"/>
  <c r="BB138" i="4"/>
  <c r="BA138" i="4"/>
  <c r="AZ138" i="4"/>
  <c r="AY138" i="4"/>
  <c r="AX138" i="4"/>
  <c r="AW138" i="4"/>
  <c r="AV138" i="4"/>
  <c r="AU138" i="4"/>
  <c r="AT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EY128" i="4"/>
  <c r="EX128" i="4"/>
  <c r="DV128" i="4"/>
  <c r="DU128" i="4"/>
  <c r="EY127" i="4"/>
  <c r="EX127" i="4"/>
  <c r="DV127" i="4"/>
  <c r="DU127" i="4"/>
  <c r="EY126" i="4"/>
  <c r="EX126" i="4"/>
  <c r="EW126" i="4"/>
  <c r="DW126" i="4"/>
  <c r="DV126" i="4"/>
  <c r="DU126" i="4"/>
  <c r="EY125" i="4"/>
  <c r="EX125" i="4"/>
  <c r="EW125" i="4"/>
  <c r="DW125" i="4"/>
  <c r="DV125" i="4"/>
  <c r="DU125" i="4"/>
  <c r="EY124" i="4"/>
  <c r="EX124" i="4"/>
  <c r="EW124" i="4"/>
  <c r="EV124" i="4"/>
  <c r="DX124" i="4"/>
  <c r="DW124" i="4"/>
  <c r="DV124" i="4"/>
  <c r="DU124" i="4"/>
  <c r="EY123" i="4"/>
  <c r="EX123" i="4"/>
  <c r="EW123" i="4"/>
  <c r="EV123" i="4"/>
  <c r="EU123" i="4"/>
  <c r="ET123" i="4"/>
  <c r="DZ123" i="4"/>
  <c r="DY123" i="4"/>
  <c r="DX123" i="4"/>
  <c r="DW123" i="4"/>
  <c r="DV123" i="4"/>
  <c r="DU123" i="4"/>
  <c r="EY122" i="4"/>
  <c r="EX122" i="4"/>
  <c r="EW122" i="4"/>
  <c r="EV122" i="4"/>
  <c r="EU122" i="4"/>
  <c r="ET122" i="4"/>
  <c r="ES122" i="4"/>
  <c r="ER122" i="4"/>
  <c r="EB122" i="4"/>
  <c r="EA122" i="4"/>
  <c r="DZ122" i="4"/>
  <c r="DY122" i="4"/>
  <c r="DX122" i="4"/>
  <c r="DW122" i="4"/>
  <c r="DV122" i="4"/>
  <c r="DU122" i="4"/>
  <c r="EY121" i="4"/>
  <c r="EX121" i="4"/>
  <c r="EW121" i="4"/>
  <c r="EV121" i="4"/>
  <c r="EU121" i="4"/>
  <c r="ET121" i="4"/>
  <c r="ES121" i="4"/>
  <c r="ER121" i="4"/>
  <c r="EQ121" i="4"/>
  <c r="EC121" i="4"/>
  <c r="EB121" i="4"/>
  <c r="EA121" i="4"/>
  <c r="DZ121" i="4"/>
  <c r="DY121" i="4"/>
  <c r="DX121" i="4"/>
  <c r="DW121" i="4"/>
  <c r="DV121" i="4"/>
  <c r="DU121" i="4"/>
  <c r="EY120" i="4"/>
  <c r="EX120" i="4"/>
  <c r="EW120" i="4"/>
  <c r="EV120" i="4"/>
  <c r="EU120" i="4"/>
  <c r="ET120" i="4"/>
  <c r="ES120" i="4"/>
  <c r="ER120" i="4"/>
  <c r="EQ120" i="4"/>
  <c r="EP120" i="4"/>
  <c r="ED120" i="4"/>
  <c r="EC120" i="4"/>
  <c r="EB120" i="4"/>
  <c r="EA120" i="4"/>
  <c r="DZ120" i="4"/>
  <c r="DY120" i="4"/>
  <c r="DX120" i="4"/>
  <c r="DW120" i="4"/>
  <c r="DV120" i="4"/>
  <c r="DU120" i="4"/>
  <c r="EY119" i="4"/>
  <c r="EX119" i="4"/>
  <c r="EW119" i="4"/>
  <c r="EV119" i="4"/>
  <c r="EU119" i="4"/>
  <c r="ET119" i="4"/>
  <c r="ES119" i="4"/>
  <c r="ER119" i="4"/>
  <c r="EQ119" i="4"/>
  <c r="EP119" i="4"/>
  <c r="EO119" i="4"/>
  <c r="EE119" i="4"/>
  <c r="ED119" i="4"/>
  <c r="EC119" i="4"/>
  <c r="EB119" i="4"/>
  <c r="EA119" i="4"/>
  <c r="DZ119" i="4"/>
  <c r="DY119" i="4"/>
  <c r="DX119" i="4"/>
  <c r="DW119" i="4"/>
  <c r="DV119" i="4"/>
  <c r="DU119" i="4"/>
  <c r="EY118" i="4"/>
  <c r="EX118" i="4"/>
  <c r="EW118" i="4"/>
  <c r="EV118" i="4"/>
  <c r="EU118" i="4"/>
  <c r="ET118" i="4"/>
  <c r="ES118" i="4"/>
  <c r="ER118" i="4"/>
  <c r="EQ118" i="4"/>
  <c r="EP118" i="4"/>
  <c r="EO118" i="4"/>
  <c r="EE118" i="4"/>
  <c r="ED118" i="4"/>
  <c r="EC118" i="4"/>
  <c r="EB118" i="4"/>
  <c r="EA118" i="4"/>
  <c r="DZ118" i="4"/>
  <c r="DY118" i="4"/>
  <c r="DX118" i="4"/>
  <c r="DW118" i="4"/>
  <c r="DV118" i="4"/>
  <c r="DU118" i="4"/>
  <c r="EY117" i="4"/>
  <c r="EX117" i="4"/>
  <c r="EW117" i="4"/>
  <c r="EV117" i="4"/>
  <c r="EU117" i="4"/>
  <c r="ET117" i="4"/>
  <c r="ES117" i="4"/>
  <c r="ER117" i="4"/>
  <c r="EQ117" i="4"/>
  <c r="EP117" i="4"/>
  <c r="EO117" i="4"/>
  <c r="EN117" i="4"/>
  <c r="EF117" i="4"/>
  <c r="EE117" i="4"/>
  <c r="ED117" i="4"/>
  <c r="EC117" i="4"/>
  <c r="EB117" i="4"/>
  <c r="EA117" i="4"/>
  <c r="DZ117" i="4"/>
  <c r="DY117" i="4"/>
  <c r="DX117" i="4"/>
  <c r="DW117" i="4"/>
  <c r="DV117" i="4"/>
  <c r="DU117" i="4"/>
  <c r="EY116" i="4"/>
  <c r="EX116" i="4"/>
  <c r="EW116" i="4"/>
  <c r="EV116" i="4"/>
  <c r="EU116" i="4"/>
  <c r="ET116" i="4"/>
  <c r="ES116" i="4"/>
  <c r="ER116" i="4"/>
  <c r="EQ116" i="4"/>
  <c r="EP116" i="4"/>
  <c r="EO116" i="4"/>
  <c r="EN116" i="4"/>
  <c r="EF116" i="4"/>
  <c r="EE116" i="4"/>
  <c r="ED116" i="4"/>
  <c r="EC116" i="4"/>
  <c r="EB116" i="4"/>
  <c r="EA116" i="4"/>
  <c r="DZ116" i="4"/>
  <c r="DY116" i="4"/>
  <c r="DX116" i="4"/>
  <c r="DW116" i="4"/>
  <c r="DV116" i="4"/>
  <c r="DU116" i="4"/>
  <c r="EY115" i="4"/>
  <c r="EX115" i="4"/>
  <c r="EW115" i="4"/>
  <c r="EV115" i="4"/>
  <c r="EU115" i="4"/>
  <c r="ET115" i="4"/>
  <c r="ES115" i="4"/>
  <c r="ER115" i="4"/>
  <c r="EQ115" i="4"/>
  <c r="EP115" i="4"/>
  <c r="EO115" i="4"/>
  <c r="EN115" i="4"/>
  <c r="EM115" i="4"/>
  <c r="EG115" i="4"/>
  <c r="EF115" i="4"/>
  <c r="EE115" i="4"/>
  <c r="ED115" i="4"/>
  <c r="EC115" i="4"/>
  <c r="EB115" i="4"/>
  <c r="EA115" i="4"/>
  <c r="DZ115" i="4"/>
  <c r="DY115" i="4"/>
  <c r="DX115" i="4"/>
  <c r="DW115" i="4"/>
  <c r="DV115" i="4"/>
  <c r="DU115" i="4"/>
  <c r="EY114" i="4"/>
  <c r="EX114" i="4"/>
  <c r="EW114" i="4"/>
  <c r="EV114" i="4"/>
  <c r="EU114" i="4"/>
  <c r="ET114" i="4"/>
  <c r="ES114" i="4"/>
  <c r="ER114" i="4"/>
  <c r="EQ114" i="4"/>
  <c r="EP114" i="4"/>
  <c r="EO114" i="4"/>
  <c r="EN114" i="4"/>
  <c r="EM114" i="4"/>
  <c r="EG114" i="4"/>
  <c r="EF114" i="4"/>
  <c r="EE114" i="4"/>
  <c r="ED114" i="4"/>
  <c r="EC114" i="4"/>
  <c r="EB114" i="4"/>
  <c r="EA114" i="4"/>
  <c r="DZ114" i="4"/>
  <c r="DY114" i="4"/>
  <c r="DX114" i="4"/>
  <c r="DW114" i="4"/>
  <c r="DV114" i="4"/>
  <c r="DU114" i="4"/>
  <c r="EY113" i="4"/>
  <c r="EX113" i="4"/>
  <c r="EW113" i="4"/>
  <c r="EV113" i="4"/>
  <c r="EU113" i="4"/>
  <c r="ET113" i="4"/>
  <c r="ES113" i="4"/>
  <c r="ER113" i="4"/>
  <c r="EQ113" i="4"/>
  <c r="EP113" i="4"/>
  <c r="EO113" i="4"/>
  <c r="EN113" i="4"/>
  <c r="EM113" i="4"/>
  <c r="EG113" i="4"/>
  <c r="EF113" i="4"/>
  <c r="EE113" i="4"/>
  <c r="ED113" i="4"/>
  <c r="EC113" i="4"/>
  <c r="EB113" i="4"/>
  <c r="EA113" i="4"/>
  <c r="DZ113" i="4"/>
  <c r="DY113" i="4"/>
  <c r="DX113" i="4"/>
  <c r="DW113" i="4"/>
  <c r="DV113" i="4"/>
  <c r="DU113" i="4"/>
  <c r="EY112" i="4"/>
  <c r="EX112" i="4"/>
  <c r="EW112" i="4"/>
  <c r="EV112" i="4"/>
  <c r="EU112" i="4"/>
  <c r="ET112" i="4"/>
  <c r="ES112" i="4"/>
  <c r="ER112" i="4"/>
  <c r="EQ112" i="4"/>
  <c r="EP112" i="4"/>
  <c r="EO112" i="4"/>
  <c r="EN112" i="4"/>
  <c r="EM112" i="4"/>
  <c r="EL112" i="4"/>
  <c r="EH112" i="4"/>
  <c r="EG112" i="4"/>
  <c r="EF112" i="4"/>
  <c r="EE112" i="4"/>
  <c r="ED112" i="4"/>
  <c r="EC112" i="4"/>
  <c r="EB112" i="4"/>
  <c r="EA112" i="4"/>
  <c r="DZ112" i="4"/>
  <c r="DY112" i="4"/>
  <c r="DX112" i="4"/>
  <c r="DW112" i="4"/>
  <c r="DV112" i="4"/>
  <c r="DU112" i="4"/>
  <c r="EY111" i="4"/>
  <c r="EX111" i="4"/>
  <c r="EW111" i="4"/>
  <c r="EV111" i="4"/>
  <c r="EU111" i="4"/>
  <c r="ET111" i="4"/>
  <c r="ES111" i="4"/>
  <c r="ER111" i="4"/>
  <c r="EQ111" i="4"/>
  <c r="EP111" i="4"/>
  <c r="EO111" i="4"/>
  <c r="EN111" i="4"/>
  <c r="EM111" i="4"/>
  <c r="EL111" i="4"/>
  <c r="EH111" i="4"/>
  <c r="EG111" i="4"/>
  <c r="EF111" i="4"/>
  <c r="EE111" i="4"/>
  <c r="ED111" i="4"/>
  <c r="EC111" i="4"/>
  <c r="EB111" i="4"/>
  <c r="EA111" i="4"/>
  <c r="DZ111" i="4"/>
  <c r="DY111" i="4"/>
  <c r="DX111" i="4"/>
  <c r="DW111" i="4"/>
  <c r="DV111" i="4"/>
  <c r="DU111" i="4"/>
  <c r="EY110" i="4"/>
  <c r="EX110" i="4"/>
  <c r="EW110" i="4"/>
  <c r="EV110" i="4"/>
  <c r="EU110" i="4"/>
  <c r="ET110" i="4"/>
  <c r="ES110" i="4"/>
  <c r="ER110" i="4"/>
  <c r="EQ110" i="4"/>
  <c r="EP110" i="4"/>
  <c r="EO110" i="4"/>
  <c r="EN110" i="4"/>
  <c r="EM110" i="4"/>
  <c r="EL110" i="4"/>
  <c r="EH110" i="4"/>
  <c r="EG110" i="4"/>
  <c r="EF110" i="4"/>
  <c r="EE110" i="4"/>
  <c r="ED110" i="4"/>
  <c r="EC110" i="4"/>
  <c r="EB110" i="4"/>
  <c r="EA110" i="4"/>
  <c r="DZ110" i="4"/>
  <c r="DY110" i="4"/>
  <c r="DX110" i="4"/>
  <c r="DW110" i="4"/>
  <c r="DV110" i="4"/>
  <c r="DU110" i="4"/>
  <c r="EY109" i="4"/>
  <c r="EX109" i="4"/>
  <c r="EW109" i="4"/>
  <c r="EV109" i="4"/>
  <c r="EU109" i="4"/>
  <c r="ET109" i="4"/>
  <c r="ES109" i="4"/>
  <c r="ER109" i="4"/>
  <c r="EQ109" i="4"/>
  <c r="EP109" i="4"/>
  <c r="EO109" i="4"/>
  <c r="EN109" i="4"/>
  <c r="EM109" i="4"/>
  <c r="EL109" i="4"/>
  <c r="EH109" i="4"/>
  <c r="EG109" i="4"/>
  <c r="EF109" i="4"/>
  <c r="EE109" i="4"/>
  <c r="ED109" i="4"/>
  <c r="EC109" i="4"/>
  <c r="EB109" i="4"/>
  <c r="EA109" i="4"/>
  <c r="DZ109" i="4"/>
  <c r="DY109" i="4"/>
  <c r="DX109" i="4"/>
  <c r="DW109" i="4"/>
  <c r="DV109" i="4"/>
  <c r="DU109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EY107" i="4"/>
  <c r="EX107" i="4"/>
  <c r="EW107" i="4"/>
  <c r="EV107" i="4"/>
  <c r="EU107" i="4"/>
  <c r="ET107" i="4"/>
  <c r="ES107" i="4"/>
  <c r="ER107" i="4"/>
  <c r="EQ107" i="4"/>
  <c r="EP107" i="4"/>
  <c r="EO107" i="4"/>
  <c r="EN107" i="4"/>
  <c r="EM107" i="4"/>
  <c r="EL107" i="4"/>
  <c r="EH107" i="4"/>
  <c r="EG107" i="4"/>
  <c r="EF107" i="4"/>
  <c r="EE107" i="4"/>
  <c r="ED107" i="4"/>
  <c r="EC107" i="4"/>
  <c r="EB107" i="4"/>
  <c r="EA107" i="4"/>
  <c r="DZ107" i="4"/>
  <c r="DY107" i="4"/>
  <c r="DX107" i="4"/>
  <c r="DW107" i="4"/>
  <c r="DV107" i="4"/>
  <c r="DU107" i="4"/>
  <c r="EY106" i="4"/>
  <c r="EX106" i="4"/>
  <c r="EW106" i="4"/>
  <c r="EV106" i="4"/>
  <c r="EU106" i="4"/>
  <c r="ET106" i="4"/>
  <c r="ES106" i="4"/>
  <c r="ER106" i="4"/>
  <c r="EQ106" i="4"/>
  <c r="EP106" i="4"/>
  <c r="EO106" i="4"/>
  <c r="EN106" i="4"/>
  <c r="EM106" i="4"/>
  <c r="EL106" i="4"/>
  <c r="EH106" i="4"/>
  <c r="EG106" i="4"/>
  <c r="EF106" i="4"/>
  <c r="EE106" i="4"/>
  <c r="ED106" i="4"/>
  <c r="EC106" i="4"/>
  <c r="EB106" i="4"/>
  <c r="EA106" i="4"/>
  <c r="DZ106" i="4"/>
  <c r="DY106" i="4"/>
  <c r="DX106" i="4"/>
  <c r="DW106" i="4"/>
  <c r="DV106" i="4"/>
  <c r="DU106" i="4"/>
  <c r="EY105" i="4"/>
  <c r="EX105" i="4"/>
  <c r="EW105" i="4"/>
  <c r="EV105" i="4"/>
  <c r="EU105" i="4"/>
  <c r="ET105" i="4"/>
  <c r="ES105" i="4"/>
  <c r="ER105" i="4"/>
  <c r="EQ105" i="4"/>
  <c r="EP105" i="4"/>
  <c r="EO105" i="4"/>
  <c r="EN105" i="4"/>
  <c r="EM105" i="4"/>
  <c r="EL105" i="4"/>
  <c r="EH105" i="4"/>
  <c r="EG105" i="4"/>
  <c r="EF105" i="4"/>
  <c r="EE105" i="4"/>
  <c r="ED105" i="4"/>
  <c r="EC105" i="4"/>
  <c r="EB105" i="4"/>
  <c r="EA105" i="4"/>
  <c r="DZ105" i="4"/>
  <c r="DY105" i="4"/>
  <c r="DX105" i="4"/>
  <c r="DW105" i="4"/>
  <c r="DV105" i="4"/>
  <c r="DU105" i="4"/>
  <c r="EY104" i="4"/>
  <c r="EX104" i="4"/>
  <c r="EW104" i="4"/>
  <c r="EV104" i="4"/>
  <c r="EU104" i="4"/>
  <c r="ET104" i="4"/>
  <c r="ES104" i="4"/>
  <c r="ER104" i="4"/>
  <c r="EQ104" i="4"/>
  <c r="EP104" i="4"/>
  <c r="EO104" i="4"/>
  <c r="EN104" i="4"/>
  <c r="EM104" i="4"/>
  <c r="EL104" i="4"/>
  <c r="EH104" i="4"/>
  <c r="EG104" i="4"/>
  <c r="EF104" i="4"/>
  <c r="EE104" i="4"/>
  <c r="ED104" i="4"/>
  <c r="EC104" i="4"/>
  <c r="EB104" i="4"/>
  <c r="EA104" i="4"/>
  <c r="DZ104" i="4"/>
  <c r="DY104" i="4"/>
  <c r="DX104" i="4"/>
  <c r="DW104" i="4"/>
  <c r="DV104" i="4"/>
  <c r="DU104" i="4"/>
  <c r="EY103" i="4"/>
  <c r="EX103" i="4"/>
  <c r="EW103" i="4"/>
  <c r="EV103" i="4"/>
  <c r="EU103" i="4"/>
  <c r="ET103" i="4"/>
  <c r="ES103" i="4"/>
  <c r="ER103" i="4"/>
  <c r="EQ103" i="4"/>
  <c r="EP103" i="4"/>
  <c r="EO103" i="4"/>
  <c r="EN103" i="4"/>
  <c r="EM103" i="4"/>
  <c r="EL103" i="4"/>
  <c r="EH103" i="4"/>
  <c r="EG103" i="4"/>
  <c r="EF103" i="4"/>
  <c r="EE103" i="4"/>
  <c r="ED103" i="4"/>
  <c r="EC103" i="4"/>
  <c r="EB103" i="4"/>
  <c r="EA103" i="4"/>
  <c r="DZ103" i="4"/>
  <c r="DY103" i="4"/>
  <c r="DX103" i="4"/>
  <c r="DW103" i="4"/>
  <c r="DV103" i="4"/>
  <c r="DU103" i="4"/>
  <c r="EY102" i="4"/>
  <c r="EX102" i="4"/>
  <c r="EW102" i="4"/>
  <c r="EV102" i="4"/>
  <c r="EU102" i="4"/>
  <c r="ET102" i="4"/>
  <c r="ES102" i="4"/>
  <c r="ER102" i="4"/>
  <c r="EQ102" i="4"/>
  <c r="EP102" i="4"/>
  <c r="EO102" i="4"/>
  <c r="EN102" i="4"/>
  <c r="EM102" i="4"/>
  <c r="EL102" i="4"/>
  <c r="EH102" i="4"/>
  <c r="EG102" i="4"/>
  <c r="EF102" i="4"/>
  <c r="EE102" i="4"/>
  <c r="ED102" i="4"/>
  <c r="EC102" i="4"/>
  <c r="EB102" i="4"/>
  <c r="EA102" i="4"/>
  <c r="DZ102" i="4"/>
  <c r="DY102" i="4"/>
  <c r="DX102" i="4"/>
  <c r="DW102" i="4"/>
  <c r="DV102" i="4"/>
  <c r="DU102" i="4"/>
  <c r="EY101" i="4"/>
  <c r="EX101" i="4"/>
  <c r="EW101" i="4"/>
  <c r="EV101" i="4"/>
  <c r="EU101" i="4"/>
  <c r="ET101" i="4"/>
  <c r="ES101" i="4"/>
  <c r="ER101" i="4"/>
  <c r="EQ101" i="4"/>
  <c r="EP101" i="4"/>
  <c r="EO101" i="4"/>
  <c r="EN101" i="4"/>
  <c r="EM101" i="4"/>
  <c r="EL101" i="4"/>
  <c r="EH101" i="4"/>
  <c r="EG101" i="4"/>
  <c r="EF101" i="4"/>
  <c r="EE101" i="4"/>
  <c r="ED101" i="4"/>
  <c r="EC101" i="4"/>
  <c r="EB101" i="4"/>
  <c r="EA101" i="4"/>
  <c r="DZ101" i="4"/>
  <c r="DY101" i="4"/>
  <c r="DX101" i="4"/>
  <c r="DW101" i="4"/>
  <c r="DV101" i="4"/>
  <c r="DU101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EY99" i="4"/>
  <c r="EX99" i="4"/>
  <c r="EW99" i="4"/>
  <c r="EV99" i="4"/>
  <c r="EU99" i="4"/>
  <c r="ET99" i="4"/>
  <c r="ES99" i="4"/>
  <c r="ER99" i="4"/>
  <c r="EQ99" i="4"/>
  <c r="EP99" i="4"/>
  <c r="EO99" i="4"/>
  <c r="EN99" i="4"/>
  <c r="EM99" i="4"/>
  <c r="EL99" i="4"/>
  <c r="EH99" i="4"/>
  <c r="EG99" i="4"/>
  <c r="EF99" i="4"/>
  <c r="EE99" i="4"/>
  <c r="ED99" i="4"/>
  <c r="EC99" i="4"/>
  <c r="EB99" i="4"/>
  <c r="EA99" i="4"/>
  <c r="DZ99" i="4"/>
  <c r="DY99" i="4"/>
  <c r="DX99" i="4"/>
  <c r="DW99" i="4"/>
  <c r="DV99" i="4"/>
  <c r="DU99" i="4"/>
  <c r="EY98" i="4"/>
  <c r="EX98" i="4"/>
  <c r="EW98" i="4"/>
  <c r="EV98" i="4"/>
  <c r="EU98" i="4"/>
  <c r="ET98" i="4"/>
  <c r="ES98" i="4"/>
  <c r="ER98" i="4"/>
  <c r="EQ98" i="4"/>
  <c r="EP98" i="4"/>
  <c r="EO98" i="4"/>
  <c r="EN98" i="4"/>
  <c r="EM98" i="4"/>
  <c r="EL98" i="4"/>
  <c r="EH98" i="4"/>
  <c r="EG98" i="4"/>
  <c r="EF98" i="4"/>
  <c r="EE98" i="4"/>
  <c r="ED98" i="4"/>
  <c r="EC98" i="4"/>
  <c r="EB98" i="4"/>
  <c r="EA98" i="4"/>
  <c r="DZ98" i="4"/>
  <c r="DY98" i="4"/>
  <c r="DX98" i="4"/>
  <c r="DW98" i="4"/>
  <c r="DV98" i="4"/>
  <c r="DU98" i="4"/>
  <c r="EY97" i="4"/>
  <c r="EX97" i="4"/>
  <c r="EW97" i="4"/>
  <c r="EV97" i="4"/>
  <c r="EU97" i="4"/>
  <c r="ET97" i="4"/>
  <c r="ES97" i="4"/>
  <c r="ER97" i="4"/>
  <c r="EQ97" i="4"/>
  <c r="EP97" i="4"/>
  <c r="EO97" i="4"/>
  <c r="EN97" i="4"/>
  <c r="EM97" i="4"/>
  <c r="EL97" i="4"/>
  <c r="EH97" i="4"/>
  <c r="EG97" i="4"/>
  <c r="EF97" i="4"/>
  <c r="EE97" i="4"/>
  <c r="ED97" i="4"/>
  <c r="EC97" i="4"/>
  <c r="EB97" i="4"/>
  <c r="EA97" i="4"/>
  <c r="DZ97" i="4"/>
  <c r="DY97" i="4"/>
  <c r="DX97" i="4"/>
  <c r="DW97" i="4"/>
  <c r="DV97" i="4"/>
  <c r="DU97" i="4"/>
  <c r="EY96" i="4"/>
  <c r="EX96" i="4"/>
  <c r="EW96" i="4"/>
  <c r="EV96" i="4"/>
  <c r="EU96" i="4"/>
  <c r="ET96" i="4"/>
  <c r="ES96" i="4"/>
  <c r="ER96" i="4"/>
  <c r="EQ96" i="4"/>
  <c r="EP96" i="4"/>
  <c r="EO96" i="4"/>
  <c r="EN96" i="4"/>
  <c r="EM96" i="4"/>
  <c r="EL96" i="4"/>
  <c r="EH96" i="4"/>
  <c r="EG96" i="4"/>
  <c r="EF96" i="4"/>
  <c r="EE96" i="4"/>
  <c r="ED96" i="4"/>
  <c r="EC96" i="4"/>
  <c r="EB96" i="4"/>
  <c r="EA96" i="4"/>
  <c r="DZ96" i="4"/>
  <c r="DY96" i="4"/>
  <c r="DX96" i="4"/>
  <c r="DW96" i="4"/>
  <c r="DV96" i="4"/>
  <c r="DU96" i="4"/>
  <c r="EY95" i="4"/>
  <c r="EX95" i="4"/>
  <c r="EW95" i="4"/>
  <c r="EV95" i="4"/>
  <c r="EU95" i="4"/>
  <c r="ET95" i="4"/>
  <c r="ES95" i="4"/>
  <c r="ER95" i="4"/>
  <c r="EQ95" i="4"/>
  <c r="EP95" i="4"/>
  <c r="EO95" i="4"/>
  <c r="EN95" i="4"/>
  <c r="EM95" i="4"/>
  <c r="EL95" i="4"/>
  <c r="EH95" i="4"/>
  <c r="EG95" i="4"/>
  <c r="EF95" i="4"/>
  <c r="EE95" i="4"/>
  <c r="ED95" i="4"/>
  <c r="EC95" i="4"/>
  <c r="EB95" i="4"/>
  <c r="EA95" i="4"/>
  <c r="DZ95" i="4"/>
  <c r="DY95" i="4"/>
  <c r="DX95" i="4"/>
  <c r="DW95" i="4"/>
  <c r="DV95" i="4"/>
  <c r="DU95" i="4"/>
  <c r="EY94" i="4"/>
  <c r="EX94" i="4"/>
  <c r="EW94" i="4"/>
  <c r="EV94" i="4"/>
  <c r="EU94" i="4"/>
  <c r="ET94" i="4"/>
  <c r="ES94" i="4"/>
  <c r="ER94" i="4"/>
  <c r="EQ94" i="4"/>
  <c r="EP94" i="4"/>
  <c r="EO94" i="4"/>
  <c r="EN94" i="4"/>
  <c r="EM94" i="4"/>
  <c r="EL94" i="4"/>
  <c r="EH94" i="4"/>
  <c r="EG94" i="4"/>
  <c r="EF94" i="4"/>
  <c r="EE94" i="4"/>
  <c r="ED94" i="4"/>
  <c r="EC94" i="4"/>
  <c r="EB94" i="4"/>
  <c r="EA94" i="4"/>
  <c r="DZ94" i="4"/>
  <c r="DY94" i="4"/>
  <c r="DX94" i="4"/>
  <c r="DW94" i="4"/>
  <c r="DV94" i="4"/>
  <c r="DU94" i="4"/>
  <c r="EY93" i="4"/>
  <c r="EX93" i="4"/>
  <c r="EW93" i="4"/>
  <c r="EV93" i="4"/>
  <c r="EU93" i="4"/>
  <c r="ET93" i="4"/>
  <c r="ES93" i="4"/>
  <c r="ER93" i="4"/>
  <c r="EQ93" i="4"/>
  <c r="EP93" i="4"/>
  <c r="EO93" i="4"/>
  <c r="EN93" i="4"/>
  <c r="EM93" i="4"/>
  <c r="EL93" i="4"/>
  <c r="EH93" i="4"/>
  <c r="EG93" i="4"/>
  <c r="EF93" i="4"/>
  <c r="EE93" i="4"/>
  <c r="ED93" i="4"/>
  <c r="EC93" i="4"/>
  <c r="EB93" i="4"/>
  <c r="EA93" i="4"/>
  <c r="DZ93" i="4"/>
  <c r="DY93" i="4"/>
  <c r="DX93" i="4"/>
  <c r="DW93" i="4"/>
  <c r="DV93" i="4"/>
  <c r="DU93" i="4"/>
  <c r="EY92" i="4"/>
  <c r="EX92" i="4"/>
  <c r="EW92" i="4"/>
  <c r="EV92" i="4"/>
  <c r="EU92" i="4"/>
  <c r="ET92" i="4"/>
  <c r="ES92" i="4"/>
  <c r="ER92" i="4"/>
  <c r="EQ92" i="4"/>
  <c r="EP92" i="4"/>
  <c r="EO92" i="4"/>
  <c r="EN92" i="4"/>
  <c r="EM92" i="4"/>
  <c r="EL92" i="4"/>
  <c r="EH92" i="4"/>
  <c r="EG92" i="4"/>
  <c r="EF92" i="4"/>
  <c r="EE92" i="4"/>
  <c r="ED92" i="4"/>
  <c r="EC92" i="4"/>
  <c r="EB92" i="4"/>
  <c r="EA92" i="4"/>
  <c r="DZ92" i="4"/>
  <c r="DY92" i="4"/>
  <c r="DX92" i="4"/>
  <c r="DW92" i="4"/>
  <c r="DV92" i="4"/>
  <c r="DU92" i="4"/>
  <c r="EY91" i="4"/>
  <c r="EX91" i="4"/>
  <c r="EW91" i="4"/>
  <c r="EV91" i="4"/>
  <c r="EU91" i="4"/>
  <c r="ET91" i="4"/>
  <c r="ES91" i="4"/>
  <c r="ER91" i="4"/>
  <c r="EQ91" i="4"/>
  <c r="EP91" i="4"/>
  <c r="EO91" i="4"/>
  <c r="EN91" i="4"/>
  <c r="EM91" i="4"/>
  <c r="EL91" i="4"/>
  <c r="EH91" i="4"/>
  <c r="EG91" i="4"/>
  <c r="EF91" i="4"/>
  <c r="EE91" i="4"/>
  <c r="ED91" i="4"/>
  <c r="EC91" i="4"/>
  <c r="EB91" i="4"/>
  <c r="EA91" i="4"/>
  <c r="DZ91" i="4"/>
  <c r="DY91" i="4"/>
  <c r="DX91" i="4"/>
  <c r="DW91" i="4"/>
  <c r="DV91" i="4"/>
  <c r="DU91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EY88" i="4"/>
  <c r="EX88" i="4"/>
  <c r="EW88" i="4"/>
  <c r="EV88" i="4"/>
  <c r="EU88" i="4"/>
  <c r="ET88" i="4"/>
  <c r="ES88" i="4"/>
  <c r="ER88" i="4"/>
  <c r="EQ88" i="4"/>
  <c r="EP88" i="4"/>
  <c r="EO88" i="4"/>
  <c r="EN88" i="4"/>
  <c r="EM88" i="4"/>
  <c r="EL88" i="4"/>
  <c r="EH88" i="4"/>
  <c r="EG88" i="4"/>
  <c r="EF88" i="4"/>
  <c r="EE88" i="4"/>
  <c r="ED88" i="4"/>
  <c r="EC88" i="4"/>
  <c r="EB88" i="4"/>
  <c r="EA88" i="4"/>
  <c r="DZ88" i="4"/>
  <c r="DY88" i="4"/>
  <c r="DX88" i="4"/>
  <c r="DW88" i="4"/>
  <c r="DV88" i="4"/>
  <c r="DU88" i="4"/>
  <c r="EY87" i="4"/>
  <c r="EX87" i="4"/>
  <c r="EW87" i="4"/>
  <c r="EV87" i="4"/>
  <c r="EU87" i="4"/>
  <c r="ET87" i="4"/>
  <c r="ES87" i="4"/>
  <c r="ER87" i="4"/>
  <c r="EQ87" i="4"/>
  <c r="EP87" i="4"/>
  <c r="EO87" i="4"/>
  <c r="EN87" i="4"/>
  <c r="EM87" i="4"/>
  <c r="EL87" i="4"/>
  <c r="EH87" i="4"/>
  <c r="EG87" i="4"/>
  <c r="EF87" i="4"/>
  <c r="EE87" i="4"/>
  <c r="ED87" i="4"/>
  <c r="EC87" i="4"/>
  <c r="EB87" i="4"/>
  <c r="EA87" i="4"/>
  <c r="DZ87" i="4"/>
  <c r="DY87" i="4"/>
  <c r="DX87" i="4"/>
  <c r="DW87" i="4"/>
  <c r="DV87" i="4"/>
  <c r="DU87" i="4"/>
  <c r="EY86" i="4"/>
  <c r="EX86" i="4"/>
  <c r="EW86" i="4"/>
  <c r="EV86" i="4"/>
  <c r="EU86" i="4"/>
  <c r="ET86" i="4"/>
  <c r="ES86" i="4"/>
  <c r="ER86" i="4"/>
  <c r="EQ86" i="4"/>
  <c r="EP86" i="4"/>
  <c r="EO86" i="4"/>
  <c r="EN86" i="4"/>
  <c r="EM86" i="4"/>
  <c r="EL86" i="4"/>
  <c r="EH86" i="4"/>
  <c r="EG86" i="4"/>
  <c r="EF86" i="4"/>
  <c r="EE86" i="4"/>
  <c r="ED86" i="4"/>
  <c r="EC86" i="4"/>
  <c r="EB86" i="4"/>
  <c r="EA86" i="4"/>
  <c r="DZ86" i="4"/>
  <c r="DY86" i="4"/>
  <c r="DX86" i="4"/>
  <c r="DW86" i="4"/>
  <c r="DV86" i="4"/>
  <c r="DU86" i="4"/>
  <c r="EY85" i="4"/>
  <c r="EX85" i="4"/>
  <c r="EW85" i="4"/>
  <c r="EV85" i="4"/>
  <c r="EU85" i="4"/>
  <c r="ET85" i="4"/>
  <c r="ES85" i="4"/>
  <c r="ER85" i="4"/>
  <c r="EQ85" i="4"/>
  <c r="EP85" i="4"/>
  <c r="EO85" i="4"/>
  <c r="EN85" i="4"/>
  <c r="EM85" i="4"/>
  <c r="EL85" i="4"/>
  <c r="EH85" i="4"/>
  <c r="EG85" i="4"/>
  <c r="EF85" i="4"/>
  <c r="EE85" i="4"/>
  <c r="ED85" i="4"/>
  <c r="EC85" i="4"/>
  <c r="EB85" i="4"/>
  <c r="EA85" i="4"/>
  <c r="DZ85" i="4"/>
  <c r="DY85" i="4"/>
  <c r="DX85" i="4"/>
  <c r="DW85" i="4"/>
  <c r="DV85" i="4"/>
  <c r="DU85" i="4"/>
  <c r="EY84" i="4"/>
  <c r="EX84" i="4"/>
  <c r="EW84" i="4"/>
  <c r="EV84" i="4"/>
  <c r="EU84" i="4"/>
  <c r="ET84" i="4"/>
  <c r="ES84" i="4"/>
  <c r="ER84" i="4"/>
  <c r="EQ84" i="4"/>
  <c r="EP84" i="4"/>
  <c r="EO84" i="4"/>
  <c r="EN84" i="4"/>
  <c r="EM84" i="4"/>
  <c r="EG84" i="4"/>
  <c r="EF84" i="4"/>
  <c r="EE84" i="4"/>
  <c r="ED84" i="4"/>
  <c r="EC84" i="4"/>
  <c r="EB84" i="4"/>
  <c r="EA84" i="4"/>
  <c r="DZ84" i="4"/>
  <c r="DY84" i="4"/>
  <c r="DX84" i="4"/>
  <c r="DW84" i="4"/>
  <c r="DV84" i="4"/>
  <c r="DU84" i="4"/>
  <c r="EY83" i="4"/>
  <c r="EX83" i="4"/>
  <c r="EW83" i="4"/>
  <c r="EV83" i="4"/>
  <c r="EU83" i="4"/>
  <c r="ET83" i="4"/>
  <c r="ES83" i="4"/>
  <c r="ER83" i="4"/>
  <c r="EQ83" i="4"/>
  <c r="EP83" i="4"/>
  <c r="EO83" i="4"/>
  <c r="EN83" i="4"/>
  <c r="EM83" i="4"/>
  <c r="EG83" i="4"/>
  <c r="EF83" i="4"/>
  <c r="EE83" i="4"/>
  <c r="ED83" i="4"/>
  <c r="EC83" i="4"/>
  <c r="EB83" i="4"/>
  <c r="EA83" i="4"/>
  <c r="DZ83" i="4"/>
  <c r="DY83" i="4"/>
  <c r="DX83" i="4"/>
  <c r="DW83" i="4"/>
  <c r="DV83" i="4"/>
  <c r="DU83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EY81" i="4"/>
  <c r="EX81" i="4"/>
  <c r="EW81" i="4"/>
  <c r="EV81" i="4"/>
  <c r="EU81" i="4"/>
  <c r="ET81" i="4"/>
  <c r="ES81" i="4"/>
  <c r="ER81" i="4"/>
  <c r="EQ81" i="4"/>
  <c r="EP81" i="4"/>
  <c r="EO81" i="4"/>
  <c r="EE81" i="4"/>
  <c r="ED81" i="4"/>
  <c r="EC81" i="4"/>
  <c r="EB81" i="4"/>
  <c r="EA81" i="4"/>
  <c r="DZ81" i="4"/>
  <c r="DY81" i="4"/>
  <c r="DX81" i="4"/>
  <c r="DW81" i="4"/>
  <c r="DV81" i="4"/>
  <c r="DU81" i="4"/>
  <c r="EY80" i="4"/>
  <c r="EX80" i="4"/>
  <c r="EW80" i="4"/>
  <c r="EV80" i="4"/>
  <c r="EU80" i="4"/>
  <c r="ET80" i="4"/>
  <c r="ES80" i="4"/>
  <c r="ER80" i="4"/>
  <c r="EQ80" i="4"/>
  <c r="EP80" i="4"/>
  <c r="ED80" i="4"/>
  <c r="EC80" i="4"/>
  <c r="EB80" i="4"/>
  <c r="EA80" i="4"/>
  <c r="DZ80" i="4"/>
  <c r="DY80" i="4"/>
  <c r="DX80" i="4"/>
  <c r="DW80" i="4"/>
  <c r="DV80" i="4"/>
  <c r="DU80" i="4"/>
  <c r="EY79" i="4"/>
  <c r="EX79" i="4"/>
  <c r="EW79" i="4"/>
  <c r="EV79" i="4"/>
  <c r="EU79" i="4"/>
  <c r="ET79" i="4"/>
  <c r="ES79" i="4"/>
  <c r="ER79" i="4"/>
  <c r="EQ79" i="4"/>
  <c r="EP79" i="4"/>
  <c r="ED79" i="4"/>
  <c r="EC79" i="4"/>
  <c r="EB79" i="4"/>
  <c r="EA79" i="4"/>
  <c r="DZ79" i="4"/>
  <c r="DY79" i="4"/>
  <c r="DX79" i="4"/>
  <c r="DW79" i="4"/>
  <c r="DV79" i="4"/>
  <c r="DU79" i="4"/>
  <c r="EY78" i="4"/>
  <c r="EX78" i="4"/>
  <c r="EW78" i="4"/>
  <c r="EV78" i="4"/>
  <c r="EU78" i="4"/>
  <c r="ET78" i="4"/>
  <c r="ES78" i="4"/>
  <c r="ER78" i="4"/>
  <c r="EQ78" i="4"/>
  <c r="EC78" i="4"/>
  <c r="EB78" i="4"/>
  <c r="EA78" i="4"/>
  <c r="DZ78" i="4"/>
  <c r="DY78" i="4"/>
  <c r="DX78" i="4"/>
  <c r="DW78" i="4"/>
  <c r="DV78" i="4"/>
  <c r="DU78" i="4"/>
  <c r="EY77" i="4"/>
  <c r="EX77" i="4"/>
  <c r="EW77" i="4"/>
  <c r="EV77" i="4"/>
  <c r="EU77" i="4"/>
  <c r="ET77" i="4"/>
  <c r="ES77" i="4"/>
  <c r="ER77" i="4"/>
  <c r="EQ77" i="4"/>
  <c r="EC77" i="4"/>
  <c r="EB77" i="4"/>
  <c r="EA77" i="4"/>
  <c r="DZ77" i="4"/>
  <c r="DY77" i="4"/>
  <c r="DX77" i="4"/>
  <c r="DW77" i="4"/>
  <c r="DV77" i="4"/>
  <c r="DU77" i="4"/>
  <c r="EY76" i="4"/>
  <c r="EX76" i="4"/>
  <c r="EW76" i="4"/>
  <c r="EV76" i="4"/>
  <c r="EU76" i="4"/>
  <c r="ET76" i="4"/>
  <c r="ES76" i="4"/>
  <c r="ER76" i="4"/>
  <c r="EQ76" i="4"/>
  <c r="EC76" i="4"/>
  <c r="EB76" i="4"/>
  <c r="EA76" i="4"/>
  <c r="DZ76" i="4"/>
  <c r="DY76" i="4"/>
  <c r="DX76" i="4"/>
  <c r="DW76" i="4"/>
  <c r="DV76" i="4"/>
  <c r="DU76" i="4"/>
  <c r="EY75" i="4"/>
  <c r="EX75" i="4"/>
  <c r="EW75" i="4"/>
  <c r="EV75" i="4"/>
  <c r="EU75" i="4"/>
  <c r="ET75" i="4"/>
  <c r="ES75" i="4"/>
  <c r="ER75" i="4"/>
  <c r="EQ75" i="4"/>
  <c r="EC75" i="4"/>
  <c r="EB75" i="4"/>
  <c r="EA75" i="4"/>
  <c r="DZ75" i="4"/>
  <c r="DY75" i="4"/>
  <c r="DX75" i="4"/>
  <c r="DW75" i="4"/>
  <c r="DV75" i="4"/>
  <c r="DU75" i="4"/>
  <c r="EY74" i="4"/>
  <c r="EX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K128" i="4"/>
  <c r="DJ128" i="4"/>
  <c r="CH128" i="4"/>
  <c r="CG128" i="4"/>
  <c r="DK127" i="4"/>
  <c r="DJ127" i="4"/>
  <c r="CH127" i="4"/>
  <c r="CG127" i="4"/>
  <c r="DK126" i="4"/>
  <c r="DJ126" i="4"/>
  <c r="DI126" i="4"/>
  <c r="CI126" i="4"/>
  <c r="CH126" i="4"/>
  <c r="CG126" i="4"/>
  <c r="DK125" i="4"/>
  <c r="DJ125" i="4"/>
  <c r="DI125" i="4"/>
  <c r="CI125" i="4"/>
  <c r="CH125" i="4"/>
  <c r="CG125" i="4"/>
  <c r="DK124" i="4"/>
  <c r="DJ124" i="4"/>
  <c r="DI124" i="4"/>
  <c r="DH124" i="4"/>
  <c r="CJ124" i="4"/>
  <c r="CI124" i="4"/>
  <c r="CH124" i="4"/>
  <c r="CG124" i="4"/>
  <c r="DK123" i="4"/>
  <c r="DJ123" i="4"/>
  <c r="DI123" i="4"/>
  <c r="DH123" i="4"/>
  <c r="DG123" i="4"/>
  <c r="DF123" i="4"/>
  <c r="CL123" i="4"/>
  <c r="CK123" i="4"/>
  <c r="CJ123" i="4"/>
  <c r="CI123" i="4"/>
  <c r="CH123" i="4"/>
  <c r="CG123" i="4"/>
  <c r="DK122" i="4"/>
  <c r="DJ122" i="4"/>
  <c r="DI122" i="4"/>
  <c r="DH122" i="4"/>
  <c r="DG122" i="4"/>
  <c r="DF122" i="4"/>
  <c r="DE122" i="4"/>
  <c r="DD122" i="4"/>
  <c r="CN122" i="4"/>
  <c r="CM122" i="4"/>
  <c r="CL122" i="4"/>
  <c r="CK122" i="4"/>
  <c r="CJ122" i="4"/>
  <c r="CI122" i="4"/>
  <c r="CH122" i="4"/>
  <c r="CG122" i="4"/>
  <c r="DK121" i="4"/>
  <c r="DJ121" i="4"/>
  <c r="DI121" i="4"/>
  <c r="DH121" i="4"/>
  <c r="DG121" i="4"/>
  <c r="DF121" i="4"/>
  <c r="DE121" i="4"/>
  <c r="DD121" i="4"/>
  <c r="DC121" i="4"/>
  <c r="CO121" i="4"/>
  <c r="CN121" i="4"/>
  <c r="CM121" i="4"/>
  <c r="CL121" i="4"/>
  <c r="CK121" i="4"/>
  <c r="CJ121" i="4"/>
  <c r="CI121" i="4"/>
  <c r="CH121" i="4"/>
  <c r="CG121" i="4"/>
  <c r="DK120" i="4"/>
  <c r="DJ120" i="4"/>
  <c r="DI120" i="4"/>
  <c r="DH120" i="4"/>
  <c r="DG120" i="4"/>
  <c r="DF120" i="4"/>
  <c r="DE120" i="4"/>
  <c r="DD120" i="4"/>
  <c r="DC120" i="4"/>
  <c r="DB120" i="4"/>
  <c r="CP120" i="4"/>
  <c r="CO120" i="4"/>
  <c r="CN120" i="4"/>
  <c r="CM120" i="4"/>
  <c r="CL120" i="4"/>
  <c r="CK120" i="4"/>
  <c r="CJ120" i="4"/>
  <c r="CI120" i="4"/>
  <c r="CH120" i="4"/>
  <c r="CG120" i="4"/>
  <c r="DK119" i="4"/>
  <c r="DJ119" i="4"/>
  <c r="DI119" i="4"/>
  <c r="DH119" i="4"/>
  <c r="DG119" i="4"/>
  <c r="DF119" i="4"/>
  <c r="DE119" i="4"/>
  <c r="DD119" i="4"/>
  <c r="DC119" i="4"/>
  <c r="DB119" i="4"/>
  <c r="DA119" i="4"/>
  <c r="CQ119" i="4"/>
  <c r="CP119" i="4"/>
  <c r="CO119" i="4"/>
  <c r="CN119" i="4"/>
  <c r="CM119" i="4"/>
  <c r="CL119" i="4"/>
  <c r="CK119" i="4"/>
  <c r="CJ119" i="4"/>
  <c r="CI119" i="4"/>
  <c r="CH119" i="4"/>
  <c r="CG119" i="4"/>
  <c r="DK118" i="4"/>
  <c r="DJ118" i="4"/>
  <c r="DI118" i="4"/>
  <c r="DH118" i="4"/>
  <c r="DG118" i="4"/>
  <c r="DF118" i="4"/>
  <c r="DE118" i="4"/>
  <c r="DD118" i="4"/>
  <c r="DC118" i="4"/>
  <c r="DB118" i="4"/>
  <c r="DA118" i="4"/>
  <c r="CQ118" i="4"/>
  <c r="CP118" i="4"/>
  <c r="CO118" i="4"/>
  <c r="CN118" i="4"/>
  <c r="CM118" i="4"/>
  <c r="CL118" i="4"/>
  <c r="CK118" i="4"/>
  <c r="CJ118" i="4"/>
  <c r="CI118" i="4"/>
  <c r="CH118" i="4"/>
  <c r="CG118" i="4"/>
  <c r="DK117" i="4"/>
  <c r="DJ117" i="4"/>
  <c r="DI117" i="4"/>
  <c r="DH117" i="4"/>
  <c r="DG117" i="4"/>
  <c r="DF117" i="4"/>
  <c r="DE117" i="4"/>
  <c r="DD117" i="4"/>
  <c r="DC117" i="4"/>
  <c r="DB117" i="4"/>
  <c r="DA117" i="4"/>
  <c r="CZ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DK116" i="4"/>
  <c r="DJ116" i="4"/>
  <c r="DI116" i="4"/>
  <c r="DH116" i="4"/>
  <c r="DG116" i="4"/>
  <c r="DF116" i="4"/>
  <c r="DE116" i="4"/>
  <c r="DD116" i="4"/>
  <c r="DC116" i="4"/>
  <c r="DB116" i="4"/>
  <c r="DA116" i="4"/>
  <c r="CZ116" i="4"/>
  <c r="CR116" i="4"/>
  <c r="CQ116" i="4"/>
  <c r="CP116" i="4"/>
  <c r="CO116" i="4"/>
  <c r="CN116" i="4"/>
  <c r="CM116" i="4"/>
  <c r="CL116" i="4"/>
  <c r="CK116" i="4"/>
  <c r="CJ116" i="4"/>
  <c r="CI116" i="4"/>
  <c r="CH116" i="4"/>
  <c r="CG116" i="4"/>
  <c r="DK115" i="4"/>
  <c r="DJ115" i="4"/>
  <c r="DI115" i="4"/>
  <c r="DH115" i="4"/>
  <c r="DG115" i="4"/>
  <c r="DF115" i="4"/>
  <c r="DE115" i="4"/>
  <c r="DD115" i="4"/>
  <c r="DC115" i="4"/>
  <c r="DB115" i="4"/>
  <c r="DA115" i="4"/>
  <c r="CZ115" i="4"/>
  <c r="CY115" i="4"/>
  <c r="CS115" i="4"/>
  <c r="CR115" i="4"/>
  <c r="CQ115" i="4"/>
  <c r="CP115" i="4"/>
  <c r="CO115" i="4"/>
  <c r="CN115" i="4"/>
  <c r="CM115" i="4"/>
  <c r="CL115" i="4"/>
  <c r="CK115" i="4"/>
  <c r="CJ115" i="4"/>
  <c r="CI115" i="4"/>
  <c r="CH115" i="4"/>
  <c r="CG115" i="4"/>
  <c r="DK114" i="4"/>
  <c r="DJ114" i="4"/>
  <c r="DI114" i="4"/>
  <c r="DH114" i="4"/>
  <c r="DG114" i="4"/>
  <c r="DF114" i="4"/>
  <c r="DE114" i="4"/>
  <c r="DD114" i="4"/>
  <c r="DC114" i="4"/>
  <c r="DB114" i="4"/>
  <c r="DA114" i="4"/>
  <c r="CZ114" i="4"/>
  <c r="CY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DK113" i="4"/>
  <c r="DJ113" i="4"/>
  <c r="DI113" i="4"/>
  <c r="DH113" i="4"/>
  <c r="DG113" i="4"/>
  <c r="DF113" i="4"/>
  <c r="DE113" i="4"/>
  <c r="DD113" i="4"/>
  <c r="DC113" i="4"/>
  <c r="DB113" i="4"/>
  <c r="DA113" i="4"/>
  <c r="CZ113" i="4"/>
  <c r="CY113" i="4"/>
  <c r="CS113" i="4"/>
  <c r="CR113" i="4"/>
  <c r="CQ113" i="4"/>
  <c r="CP113" i="4"/>
  <c r="CO113" i="4"/>
  <c r="CN113" i="4"/>
  <c r="CM113" i="4"/>
  <c r="CL113" i="4"/>
  <c r="CK113" i="4"/>
  <c r="CJ113" i="4"/>
  <c r="CI113" i="4"/>
  <c r="CH113" i="4"/>
  <c r="CG113" i="4"/>
  <c r="DK112" i="4"/>
  <c r="DJ112" i="4"/>
  <c r="DI112" i="4"/>
  <c r="DH112" i="4"/>
  <c r="DG112" i="4"/>
  <c r="DF112" i="4"/>
  <c r="DE112" i="4"/>
  <c r="DD112" i="4"/>
  <c r="DC112" i="4"/>
  <c r="DB112" i="4"/>
  <c r="DA112" i="4"/>
  <c r="CZ112" i="4"/>
  <c r="CY112" i="4"/>
  <c r="CX112" i="4"/>
  <c r="CT112" i="4"/>
  <c r="CS112" i="4"/>
  <c r="CR112" i="4"/>
  <c r="CQ112" i="4"/>
  <c r="CP112" i="4"/>
  <c r="CO112" i="4"/>
  <c r="CN112" i="4"/>
  <c r="CM112" i="4"/>
  <c r="CL112" i="4"/>
  <c r="CK112" i="4"/>
  <c r="CJ112" i="4"/>
  <c r="CI112" i="4"/>
  <c r="CH112" i="4"/>
  <c r="CG112" i="4"/>
  <c r="DK111" i="4"/>
  <c r="DJ111" i="4"/>
  <c r="DI111" i="4"/>
  <c r="DH111" i="4"/>
  <c r="DG111" i="4"/>
  <c r="DF111" i="4"/>
  <c r="DE111" i="4"/>
  <c r="DD111" i="4"/>
  <c r="DC111" i="4"/>
  <c r="DB111" i="4"/>
  <c r="DA111" i="4"/>
  <c r="CZ111" i="4"/>
  <c r="CY111" i="4"/>
  <c r="CX111" i="4"/>
  <c r="CT111" i="4"/>
  <c r="CS111" i="4"/>
  <c r="CR111" i="4"/>
  <c r="CQ111" i="4"/>
  <c r="CP111" i="4"/>
  <c r="CO111" i="4"/>
  <c r="CN111" i="4"/>
  <c r="CM111" i="4"/>
  <c r="CL111" i="4"/>
  <c r="CK111" i="4"/>
  <c r="CJ111" i="4"/>
  <c r="CI111" i="4"/>
  <c r="CH111" i="4"/>
  <c r="CG111" i="4"/>
  <c r="DK110" i="4"/>
  <c r="DJ110" i="4"/>
  <c r="DI110" i="4"/>
  <c r="DH110" i="4"/>
  <c r="DG110" i="4"/>
  <c r="DF110" i="4"/>
  <c r="DE110" i="4"/>
  <c r="DD110" i="4"/>
  <c r="DC110" i="4"/>
  <c r="DB110" i="4"/>
  <c r="DA110" i="4"/>
  <c r="CZ110" i="4"/>
  <c r="CY110" i="4"/>
  <c r="CX110" i="4"/>
  <c r="CT110" i="4"/>
  <c r="CS110" i="4"/>
  <c r="CR110" i="4"/>
  <c r="CQ110" i="4"/>
  <c r="CP110" i="4"/>
  <c r="CO110" i="4"/>
  <c r="CN110" i="4"/>
  <c r="CM110" i="4"/>
  <c r="CL110" i="4"/>
  <c r="CK110" i="4"/>
  <c r="CJ110" i="4"/>
  <c r="CI110" i="4"/>
  <c r="CH110" i="4"/>
  <c r="CG110" i="4"/>
  <c r="DK109" i="4"/>
  <c r="DJ109" i="4"/>
  <c r="DI109" i="4"/>
  <c r="DH109" i="4"/>
  <c r="DG109" i="4"/>
  <c r="DF109" i="4"/>
  <c r="DE109" i="4"/>
  <c r="DD109" i="4"/>
  <c r="DC109" i="4"/>
  <c r="DB109" i="4"/>
  <c r="DA109" i="4"/>
  <c r="CZ109" i="4"/>
  <c r="CY109" i="4"/>
  <c r="CX109" i="4"/>
  <c r="CT109" i="4"/>
  <c r="CS109" i="4"/>
  <c r="CR109" i="4"/>
  <c r="CQ109" i="4"/>
  <c r="CP109" i="4"/>
  <c r="CO109" i="4"/>
  <c r="CN109" i="4"/>
  <c r="CM109" i="4"/>
  <c r="CL109" i="4"/>
  <c r="CK109" i="4"/>
  <c r="CJ109" i="4"/>
  <c r="CI109" i="4"/>
  <c r="CH109" i="4"/>
  <c r="CG109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DK107" i="4"/>
  <c r="DJ107" i="4"/>
  <c r="DI107" i="4"/>
  <c r="DH107" i="4"/>
  <c r="DG107" i="4"/>
  <c r="DF107" i="4"/>
  <c r="DE107" i="4"/>
  <c r="DD107" i="4"/>
  <c r="DC107" i="4"/>
  <c r="DB107" i="4"/>
  <c r="DA107" i="4"/>
  <c r="CZ107" i="4"/>
  <c r="CY107" i="4"/>
  <c r="CX107" i="4"/>
  <c r="CT107" i="4"/>
  <c r="CS107" i="4"/>
  <c r="CR107" i="4"/>
  <c r="CQ107" i="4"/>
  <c r="CP107" i="4"/>
  <c r="CO107" i="4"/>
  <c r="CN107" i="4"/>
  <c r="CM107" i="4"/>
  <c r="CL107" i="4"/>
  <c r="CK107" i="4"/>
  <c r="CJ107" i="4"/>
  <c r="CI107" i="4"/>
  <c r="CH107" i="4"/>
  <c r="CG107" i="4"/>
  <c r="DK106" i="4"/>
  <c r="DJ106" i="4"/>
  <c r="DI106" i="4"/>
  <c r="DH106" i="4"/>
  <c r="DG106" i="4"/>
  <c r="DF106" i="4"/>
  <c r="DE106" i="4"/>
  <c r="DD106" i="4"/>
  <c r="DC106" i="4"/>
  <c r="DB106" i="4"/>
  <c r="DA106" i="4"/>
  <c r="CZ106" i="4"/>
  <c r="CY106" i="4"/>
  <c r="CX106" i="4"/>
  <c r="CT106" i="4"/>
  <c r="CS106" i="4"/>
  <c r="CR106" i="4"/>
  <c r="CQ106" i="4"/>
  <c r="CP106" i="4"/>
  <c r="CO106" i="4"/>
  <c r="CN106" i="4"/>
  <c r="CM106" i="4"/>
  <c r="CL106" i="4"/>
  <c r="CK106" i="4"/>
  <c r="CJ106" i="4"/>
  <c r="CI106" i="4"/>
  <c r="CH106" i="4"/>
  <c r="CG106" i="4"/>
  <c r="DK105" i="4"/>
  <c r="DJ105" i="4"/>
  <c r="DI105" i="4"/>
  <c r="DH105" i="4"/>
  <c r="DG105" i="4"/>
  <c r="DF105" i="4"/>
  <c r="DE105" i="4"/>
  <c r="DD105" i="4"/>
  <c r="DC105" i="4"/>
  <c r="DB105" i="4"/>
  <c r="DA105" i="4"/>
  <c r="CZ105" i="4"/>
  <c r="CY105" i="4"/>
  <c r="CX105" i="4"/>
  <c r="CT105" i="4"/>
  <c r="CS105" i="4"/>
  <c r="CR105" i="4"/>
  <c r="CQ105" i="4"/>
  <c r="CP105" i="4"/>
  <c r="CO105" i="4"/>
  <c r="CN105" i="4"/>
  <c r="CM105" i="4"/>
  <c r="CL105" i="4"/>
  <c r="CK105" i="4"/>
  <c r="CJ105" i="4"/>
  <c r="CI105" i="4"/>
  <c r="CH105" i="4"/>
  <c r="CG105" i="4"/>
  <c r="DK104" i="4"/>
  <c r="DJ104" i="4"/>
  <c r="DI104" i="4"/>
  <c r="DH104" i="4"/>
  <c r="DG104" i="4"/>
  <c r="DF104" i="4"/>
  <c r="DE104" i="4"/>
  <c r="DD104" i="4"/>
  <c r="DC104" i="4"/>
  <c r="DB104" i="4"/>
  <c r="DA104" i="4"/>
  <c r="CZ104" i="4"/>
  <c r="CY104" i="4"/>
  <c r="CX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DK103" i="4"/>
  <c r="DJ103" i="4"/>
  <c r="DI103" i="4"/>
  <c r="DH103" i="4"/>
  <c r="DG103" i="4"/>
  <c r="DF103" i="4"/>
  <c r="DE103" i="4"/>
  <c r="DD103" i="4"/>
  <c r="DC103" i="4"/>
  <c r="DB103" i="4"/>
  <c r="DA103" i="4"/>
  <c r="CZ103" i="4"/>
  <c r="CY103" i="4"/>
  <c r="CX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DK102" i="4"/>
  <c r="DJ102" i="4"/>
  <c r="DI102" i="4"/>
  <c r="DH102" i="4"/>
  <c r="DG102" i="4"/>
  <c r="DF102" i="4"/>
  <c r="DE102" i="4"/>
  <c r="DD102" i="4"/>
  <c r="DC102" i="4"/>
  <c r="DB102" i="4"/>
  <c r="DA102" i="4"/>
  <c r="CZ102" i="4"/>
  <c r="CY102" i="4"/>
  <c r="CX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DK101" i="4"/>
  <c r="DJ101" i="4"/>
  <c r="DI101" i="4"/>
  <c r="DH101" i="4"/>
  <c r="DG101" i="4"/>
  <c r="DF101" i="4"/>
  <c r="DE101" i="4"/>
  <c r="DD101" i="4"/>
  <c r="DC101" i="4"/>
  <c r="DB101" i="4"/>
  <c r="DA101" i="4"/>
  <c r="CZ101" i="4"/>
  <c r="CY101" i="4"/>
  <c r="CX101" i="4"/>
  <c r="CT101" i="4"/>
  <c r="CS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DK100" i="4"/>
  <c r="DJ100" i="4"/>
  <c r="DI100" i="4"/>
  <c r="DH100" i="4"/>
  <c r="DG100" i="4"/>
  <c r="DF100" i="4"/>
  <c r="DE100" i="4"/>
  <c r="DD100" i="4"/>
  <c r="DC100" i="4"/>
  <c r="DB100" i="4"/>
  <c r="DA100" i="4"/>
  <c r="CZ100" i="4"/>
  <c r="CY100" i="4"/>
  <c r="CX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DK99" i="4"/>
  <c r="DJ99" i="4"/>
  <c r="DI99" i="4"/>
  <c r="DH99" i="4"/>
  <c r="DG99" i="4"/>
  <c r="DF99" i="4"/>
  <c r="DE99" i="4"/>
  <c r="DD99" i="4"/>
  <c r="DC99" i="4"/>
  <c r="DB99" i="4"/>
  <c r="DA99" i="4"/>
  <c r="CZ99" i="4"/>
  <c r="CY99" i="4"/>
  <c r="CX99" i="4"/>
  <c r="CT99" i="4"/>
  <c r="CS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DK98" i="4"/>
  <c r="DJ98" i="4"/>
  <c r="DI98" i="4"/>
  <c r="DH98" i="4"/>
  <c r="DG98" i="4"/>
  <c r="DF98" i="4"/>
  <c r="DE98" i="4"/>
  <c r="DD98" i="4"/>
  <c r="DC98" i="4"/>
  <c r="DB98" i="4"/>
  <c r="DA98" i="4"/>
  <c r="CZ98" i="4"/>
  <c r="CY98" i="4"/>
  <c r="CX98" i="4"/>
  <c r="CT98" i="4"/>
  <c r="CS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DK97" i="4"/>
  <c r="DJ97" i="4"/>
  <c r="DI97" i="4"/>
  <c r="DH97" i="4"/>
  <c r="DG97" i="4"/>
  <c r="DF97" i="4"/>
  <c r="DE97" i="4"/>
  <c r="DD97" i="4"/>
  <c r="DC97" i="4"/>
  <c r="DB97" i="4"/>
  <c r="DA97" i="4"/>
  <c r="CZ97" i="4"/>
  <c r="CY97" i="4"/>
  <c r="CX97" i="4"/>
  <c r="CT97" i="4"/>
  <c r="CS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DK96" i="4"/>
  <c r="DJ96" i="4"/>
  <c r="DI96" i="4"/>
  <c r="DH96" i="4"/>
  <c r="DG96" i="4"/>
  <c r="DF96" i="4"/>
  <c r="DE96" i="4"/>
  <c r="DD96" i="4"/>
  <c r="DC96" i="4"/>
  <c r="DB96" i="4"/>
  <c r="DA96" i="4"/>
  <c r="CZ96" i="4"/>
  <c r="CY96" i="4"/>
  <c r="CX96" i="4"/>
  <c r="CT96" i="4"/>
  <c r="CS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DK95" i="4"/>
  <c r="DJ95" i="4"/>
  <c r="DI95" i="4"/>
  <c r="DH95" i="4"/>
  <c r="DG95" i="4"/>
  <c r="DF95" i="4"/>
  <c r="DE95" i="4"/>
  <c r="DD95" i="4"/>
  <c r="DC95" i="4"/>
  <c r="DB95" i="4"/>
  <c r="DA95" i="4"/>
  <c r="CZ95" i="4"/>
  <c r="CY95" i="4"/>
  <c r="CX95" i="4"/>
  <c r="CT95" i="4"/>
  <c r="CS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DK94" i="4"/>
  <c r="DJ94" i="4"/>
  <c r="DI94" i="4"/>
  <c r="DH94" i="4"/>
  <c r="DG94" i="4"/>
  <c r="DF94" i="4"/>
  <c r="DE94" i="4"/>
  <c r="DD94" i="4"/>
  <c r="DC94" i="4"/>
  <c r="DB94" i="4"/>
  <c r="DA94" i="4"/>
  <c r="CZ94" i="4"/>
  <c r="CY94" i="4"/>
  <c r="CX94" i="4"/>
  <c r="CT94" i="4"/>
  <c r="CS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DK93" i="4"/>
  <c r="DJ93" i="4"/>
  <c r="DI93" i="4"/>
  <c r="DH93" i="4"/>
  <c r="DG93" i="4"/>
  <c r="DF93" i="4"/>
  <c r="DE93" i="4"/>
  <c r="DD93" i="4"/>
  <c r="DC93" i="4"/>
  <c r="DB93" i="4"/>
  <c r="DA93" i="4"/>
  <c r="CZ93" i="4"/>
  <c r="CY93" i="4"/>
  <c r="CX93" i="4"/>
  <c r="CT93" i="4"/>
  <c r="CS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DK92" i="4"/>
  <c r="DJ92" i="4"/>
  <c r="DI92" i="4"/>
  <c r="DH92" i="4"/>
  <c r="DG92" i="4"/>
  <c r="DF92" i="4"/>
  <c r="DE92" i="4"/>
  <c r="DD92" i="4"/>
  <c r="DC92" i="4"/>
  <c r="DB92" i="4"/>
  <c r="DA92" i="4"/>
  <c r="CZ92" i="4"/>
  <c r="CY92" i="4"/>
  <c r="CX92" i="4"/>
  <c r="CT92" i="4"/>
  <c r="CS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DK91" i="4"/>
  <c r="DJ91" i="4"/>
  <c r="DI91" i="4"/>
  <c r="DH91" i="4"/>
  <c r="DG91" i="4"/>
  <c r="DF91" i="4"/>
  <c r="DE91" i="4"/>
  <c r="DD91" i="4"/>
  <c r="DC91" i="4"/>
  <c r="DB91" i="4"/>
  <c r="DA91" i="4"/>
  <c r="CZ91" i="4"/>
  <c r="CY91" i="4"/>
  <c r="CX91" i="4"/>
  <c r="CT91" i="4"/>
  <c r="CS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DK89" i="4"/>
  <c r="DJ89" i="4"/>
  <c r="DI89" i="4"/>
  <c r="DH89" i="4"/>
  <c r="DG89" i="4"/>
  <c r="DF89" i="4"/>
  <c r="DE89" i="4"/>
  <c r="DD89" i="4"/>
  <c r="DC89" i="4"/>
  <c r="DB89" i="4"/>
  <c r="DA89" i="4"/>
  <c r="CZ89" i="4"/>
  <c r="CY89" i="4"/>
  <c r="CX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DK88" i="4"/>
  <c r="DJ88" i="4"/>
  <c r="DI88" i="4"/>
  <c r="DH88" i="4"/>
  <c r="DG88" i="4"/>
  <c r="DF88" i="4"/>
  <c r="DE88" i="4"/>
  <c r="DD88" i="4"/>
  <c r="DC88" i="4"/>
  <c r="DB88" i="4"/>
  <c r="DA88" i="4"/>
  <c r="CZ88" i="4"/>
  <c r="CY88" i="4"/>
  <c r="CX88" i="4"/>
  <c r="CT88" i="4"/>
  <c r="CS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DK87" i="4"/>
  <c r="DJ87" i="4"/>
  <c r="DI87" i="4"/>
  <c r="DH87" i="4"/>
  <c r="DG87" i="4"/>
  <c r="DF87" i="4"/>
  <c r="DE87" i="4"/>
  <c r="DD87" i="4"/>
  <c r="DC87" i="4"/>
  <c r="DB87" i="4"/>
  <c r="DA87" i="4"/>
  <c r="CZ87" i="4"/>
  <c r="CY87" i="4"/>
  <c r="CX87" i="4"/>
  <c r="CT87" i="4"/>
  <c r="CS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DK86" i="4"/>
  <c r="DJ86" i="4"/>
  <c r="DI86" i="4"/>
  <c r="DH86" i="4"/>
  <c r="DG86" i="4"/>
  <c r="DF86" i="4"/>
  <c r="DE86" i="4"/>
  <c r="DD86" i="4"/>
  <c r="DC86" i="4"/>
  <c r="DB86" i="4"/>
  <c r="DA86" i="4"/>
  <c r="CZ86" i="4"/>
  <c r="CY86" i="4"/>
  <c r="CX86" i="4"/>
  <c r="CT86" i="4"/>
  <c r="CS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DK85" i="4"/>
  <c r="DJ85" i="4"/>
  <c r="DI85" i="4"/>
  <c r="DH85" i="4"/>
  <c r="DG85" i="4"/>
  <c r="DF85" i="4"/>
  <c r="DE85" i="4"/>
  <c r="DD85" i="4"/>
  <c r="DC85" i="4"/>
  <c r="DB85" i="4"/>
  <c r="DA85" i="4"/>
  <c r="CZ85" i="4"/>
  <c r="CY85" i="4"/>
  <c r="CX85" i="4"/>
  <c r="CT85" i="4"/>
  <c r="CS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DK84" i="4"/>
  <c r="DJ84" i="4"/>
  <c r="DI84" i="4"/>
  <c r="DH84" i="4"/>
  <c r="DG84" i="4"/>
  <c r="DF84" i="4"/>
  <c r="DE84" i="4"/>
  <c r="DD84" i="4"/>
  <c r="DC84" i="4"/>
  <c r="DB84" i="4"/>
  <c r="DA84" i="4"/>
  <c r="CZ84" i="4"/>
  <c r="CY84" i="4"/>
  <c r="CS84" i="4"/>
  <c r="CR84" i="4"/>
  <c r="CQ84" i="4"/>
  <c r="CP84" i="4"/>
  <c r="CO84" i="4"/>
  <c r="CN84" i="4"/>
  <c r="CM84" i="4"/>
  <c r="CL84" i="4"/>
  <c r="CK84" i="4"/>
  <c r="CJ84" i="4"/>
  <c r="CI84" i="4"/>
  <c r="CH84" i="4"/>
  <c r="CG84" i="4"/>
  <c r="DK83" i="4"/>
  <c r="DJ83" i="4"/>
  <c r="DI83" i="4"/>
  <c r="DH83" i="4"/>
  <c r="DG83" i="4"/>
  <c r="DF83" i="4"/>
  <c r="DE83" i="4"/>
  <c r="DD83" i="4"/>
  <c r="DC83" i="4"/>
  <c r="DB83" i="4"/>
  <c r="DA83" i="4"/>
  <c r="CZ83" i="4"/>
  <c r="CY83" i="4"/>
  <c r="CS83" i="4"/>
  <c r="CR83" i="4"/>
  <c r="CQ83" i="4"/>
  <c r="CP83" i="4"/>
  <c r="CO83" i="4"/>
  <c r="CN83" i="4"/>
  <c r="CM83" i="4"/>
  <c r="CL83" i="4"/>
  <c r="CK83" i="4"/>
  <c r="CJ83" i="4"/>
  <c r="CI83" i="4"/>
  <c r="CH83" i="4"/>
  <c r="CG83" i="4"/>
  <c r="DK82" i="4"/>
  <c r="DJ82" i="4"/>
  <c r="DI82" i="4"/>
  <c r="DH82" i="4"/>
  <c r="DG82" i="4"/>
  <c r="DF82" i="4"/>
  <c r="DE82" i="4"/>
  <c r="DD82" i="4"/>
  <c r="DC82" i="4"/>
  <c r="DB82" i="4"/>
  <c r="DA82" i="4"/>
  <c r="CZ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DK81" i="4"/>
  <c r="DJ81" i="4"/>
  <c r="DI81" i="4"/>
  <c r="DH81" i="4"/>
  <c r="DG81" i="4"/>
  <c r="DF81" i="4"/>
  <c r="DE81" i="4"/>
  <c r="DD81" i="4"/>
  <c r="DC81" i="4"/>
  <c r="DB81" i="4"/>
  <c r="DA81" i="4"/>
  <c r="CQ81" i="4"/>
  <c r="CP81" i="4"/>
  <c r="CO81" i="4"/>
  <c r="CN81" i="4"/>
  <c r="CM81" i="4"/>
  <c r="CL81" i="4"/>
  <c r="CK81" i="4"/>
  <c r="CJ81" i="4"/>
  <c r="CI81" i="4"/>
  <c r="CH81" i="4"/>
  <c r="CG81" i="4"/>
  <c r="DK80" i="4"/>
  <c r="DJ80" i="4"/>
  <c r="DI80" i="4"/>
  <c r="DH80" i="4"/>
  <c r="DG80" i="4"/>
  <c r="DF80" i="4"/>
  <c r="DE80" i="4"/>
  <c r="DD80" i="4"/>
  <c r="DC80" i="4"/>
  <c r="DB80" i="4"/>
  <c r="CP80" i="4"/>
  <c r="CO80" i="4"/>
  <c r="CN80" i="4"/>
  <c r="CM80" i="4"/>
  <c r="CL80" i="4"/>
  <c r="CK80" i="4"/>
  <c r="CJ80" i="4"/>
  <c r="CI80" i="4"/>
  <c r="CH80" i="4"/>
  <c r="CG80" i="4"/>
  <c r="DK79" i="4"/>
  <c r="DJ79" i="4"/>
  <c r="DI79" i="4"/>
  <c r="DH79" i="4"/>
  <c r="DG79" i="4"/>
  <c r="DF79" i="4"/>
  <c r="DE79" i="4"/>
  <c r="DD79" i="4"/>
  <c r="DC79" i="4"/>
  <c r="DB79" i="4"/>
  <c r="CP79" i="4"/>
  <c r="CO79" i="4"/>
  <c r="CN79" i="4"/>
  <c r="CM79" i="4"/>
  <c r="CL79" i="4"/>
  <c r="CK79" i="4"/>
  <c r="CJ79" i="4"/>
  <c r="CI79" i="4"/>
  <c r="CH79" i="4"/>
  <c r="CG79" i="4"/>
  <c r="DK78" i="4"/>
  <c r="DJ78" i="4"/>
  <c r="DI78" i="4"/>
  <c r="DH78" i="4"/>
  <c r="DG78" i="4"/>
  <c r="DF78" i="4"/>
  <c r="DE78" i="4"/>
  <c r="DD78" i="4"/>
  <c r="DC78" i="4"/>
  <c r="CO78" i="4"/>
  <c r="CN78" i="4"/>
  <c r="CM78" i="4"/>
  <c r="CL78" i="4"/>
  <c r="CK78" i="4"/>
  <c r="CJ78" i="4"/>
  <c r="CI78" i="4"/>
  <c r="CH78" i="4"/>
  <c r="CG78" i="4"/>
  <c r="DK77" i="4"/>
  <c r="DJ77" i="4"/>
  <c r="DI77" i="4"/>
  <c r="DH77" i="4"/>
  <c r="DG77" i="4"/>
  <c r="DF77" i="4"/>
  <c r="DE77" i="4"/>
  <c r="DD77" i="4"/>
  <c r="DC77" i="4"/>
  <c r="CO77" i="4"/>
  <c r="CN77" i="4"/>
  <c r="CM77" i="4"/>
  <c r="CL77" i="4"/>
  <c r="CK77" i="4"/>
  <c r="CJ77" i="4"/>
  <c r="CI77" i="4"/>
  <c r="CH77" i="4"/>
  <c r="CG77" i="4"/>
  <c r="DK76" i="4"/>
  <c r="DJ76" i="4"/>
  <c r="DI76" i="4"/>
  <c r="DH76" i="4"/>
  <c r="DG76" i="4"/>
  <c r="DF76" i="4"/>
  <c r="DE76" i="4"/>
  <c r="DD76" i="4"/>
  <c r="DC76" i="4"/>
  <c r="CO76" i="4"/>
  <c r="CN76" i="4"/>
  <c r="CM76" i="4"/>
  <c r="CL76" i="4"/>
  <c r="CK76" i="4"/>
  <c r="CJ76" i="4"/>
  <c r="CI76" i="4"/>
  <c r="CH76" i="4"/>
  <c r="CG76" i="4"/>
  <c r="DK75" i="4"/>
  <c r="DJ75" i="4"/>
  <c r="DI75" i="4"/>
  <c r="DH75" i="4"/>
  <c r="DG75" i="4"/>
  <c r="DF75" i="4"/>
  <c r="DE75" i="4"/>
  <c r="DD75" i="4"/>
  <c r="DC75" i="4"/>
  <c r="CO75" i="4"/>
  <c r="CN75" i="4"/>
  <c r="CM75" i="4"/>
  <c r="CL75" i="4"/>
  <c r="CK75" i="4"/>
  <c r="CJ75" i="4"/>
  <c r="CI75" i="4"/>
  <c r="CH75" i="4"/>
  <c r="CG75" i="4"/>
  <c r="DK74" i="4"/>
  <c r="DJ74" i="4"/>
  <c r="DI74" i="4"/>
  <c r="DH74" i="4"/>
  <c r="DG74" i="4"/>
  <c r="DF74" i="4"/>
  <c r="DE74" i="4"/>
  <c r="DD74" i="4"/>
  <c r="DC74" i="4"/>
  <c r="DB74" i="4"/>
  <c r="DA74" i="4"/>
  <c r="CZ74" i="4"/>
  <c r="CY74" i="4"/>
  <c r="CX74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BX128" i="4"/>
  <c r="BW128" i="4"/>
  <c r="AU128" i="4"/>
  <c r="AT128" i="4"/>
  <c r="BX127" i="4"/>
  <c r="BW127" i="4"/>
  <c r="AU127" i="4"/>
  <c r="AT127" i="4"/>
  <c r="BX126" i="4"/>
  <c r="BW126" i="4"/>
  <c r="BV126" i="4"/>
  <c r="AV126" i="4"/>
  <c r="AU126" i="4"/>
  <c r="AT126" i="4"/>
  <c r="BX125" i="4"/>
  <c r="BW125" i="4"/>
  <c r="BV125" i="4"/>
  <c r="AV125" i="4"/>
  <c r="AU125" i="4"/>
  <c r="AT125" i="4"/>
  <c r="BX124" i="4"/>
  <c r="BW124" i="4"/>
  <c r="BV124" i="4"/>
  <c r="BU124" i="4"/>
  <c r="AW124" i="4"/>
  <c r="AV124" i="4"/>
  <c r="AU124" i="4"/>
  <c r="AT124" i="4"/>
  <c r="BX123" i="4"/>
  <c r="BW123" i="4"/>
  <c r="BV123" i="4"/>
  <c r="BU123" i="4"/>
  <c r="BT123" i="4"/>
  <c r="BS123" i="4"/>
  <c r="AY123" i="4"/>
  <c r="AX123" i="4"/>
  <c r="AW123" i="4"/>
  <c r="AV123" i="4"/>
  <c r="AU123" i="4"/>
  <c r="AT123" i="4"/>
  <c r="BX122" i="4"/>
  <c r="BW122" i="4"/>
  <c r="BV122" i="4"/>
  <c r="BU122" i="4"/>
  <c r="BT122" i="4"/>
  <c r="BS122" i="4"/>
  <c r="BR122" i="4"/>
  <c r="BQ122" i="4"/>
  <c r="BA122" i="4"/>
  <c r="AZ122" i="4"/>
  <c r="AY122" i="4"/>
  <c r="AX122" i="4"/>
  <c r="AW122" i="4"/>
  <c r="AV122" i="4"/>
  <c r="AU122" i="4"/>
  <c r="AT122" i="4"/>
  <c r="BX121" i="4"/>
  <c r="BW121" i="4"/>
  <c r="BV121" i="4"/>
  <c r="BU121" i="4"/>
  <c r="BT121" i="4"/>
  <c r="BS121" i="4"/>
  <c r="BR121" i="4"/>
  <c r="BQ121" i="4"/>
  <c r="BP121" i="4"/>
  <c r="BB121" i="4"/>
  <c r="BA121" i="4"/>
  <c r="AZ121" i="4"/>
  <c r="AY121" i="4"/>
  <c r="AX121" i="4"/>
  <c r="AW121" i="4"/>
  <c r="AV121" i="4"/>
  <c r="AU121" i="4"/>
  <c r="AT121" i="4"/>
  <c r="BX120" i="4"/>
  <c r="BW120" i="4"/>
  <c r="BV120" i="4"/>
  <c r="BU120" i="4"/>
  <c r="BT120" i="4"/>
  <c r="BS120" i="4"/>
  <c r="BR120" i="4"/>
  <c r="BQ120" i="4"/>
  <c r="BP120" i="4"/>
  <c r="BO120" i="4"/>
  <c r="BC120" i="4"/>
  <c r="BB120" i="4"/>
  <c r="BA120" i="4"/>
  <c r="AZ120" i="4"/>
  <c r="AY120" i="4"/>
  <c r="AX120" i="4"/>
  <c r="AW120" i="4"/>
  <c r="AV120" i="4"/>
  <c r="AU120" i="4"/>
  <c r="AT120" i="4"/>
  <c r="BX119" i="4"/>
  <c r="BW119" i="4"/>
  <c r="BV119" i="4"/>
  <c r="BU119" i="4"/>
  <c r="BT119" i="4"/>
  <c r="BS119" i="4"/>
  <c r="BR119" i="4"/>
  <c r="BQ119" i="4"/>
  <c r="BP119" i="4"/>
  <c r="BO119" i="4"/>
  <c r="BN119" i="4"/>
  <c r="BD119" i="4"/>
  <c r="BC119" i="4"/>
  <c r="BB119" i="4"/>
  <c r="BA119" i="4"/>
  <c r="AZ119" i="4"/>
  <c r="AY119" i="4"/>
  <c r="AX119" i="4"/>
  <c r="AW119" i="4"/>
  <c r="AV119" i="4"/>
  <c r="AU119" i="4"/>
  <c r="AT119" i="4"/>
  <c r="BX118" i="4"/>
  <c r="BW118" i="4"/>
  <c r="BV118" i="4"/>
  <c r="BU118" i="4"/>
  <c r="BT118" i="4"/>
  <c r="BS118" i="4"/>
  <c r="BR118" i="4"/>
  <c r="BQ118" i="4"/>
  <c r="BP118" i="4"/>
  <c r="BO118" i="4"/>
  <c r="BN118" i="4"/>
  <c r="BD118" i="4"/>
  <c r="BC118" i="4"/>
  <c r="BB118" i="4"/>
  <c r="BA118" i="4"/>
  <c r="AZ118" i="4"/>
  <c r="AY118" i="4"/>
  <c r="AX118" i="4"/>
  <c r="AW118" i="4"/>
  <c r="AV118" i="4"/>
  <c r="AU118" i="4"/>
  <c r="AT118" i="4"/>
  <c r="BX117" i="4"/>
  <c r="BW117" i="4"/>
  <c r="BV117" i="4"/>
  <c r="BU117" i="4"/>
  <c r="BT117" i="4"/>
  <c r="BS117" i="4"/>
  <c r="BR117" i="4"/>
  <c r="BQ117" i="4"/>
  <c r="BP117" i="4"/>
  <c r="BO117" i="4"/>
  <c r="BN117" i="4"/>
  <c r="BM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BX115" i="4"/>
  <c r="BW115" i="4"/>
  <c r="BV115" i="4"/>
  <c r="BU115" i="4"/>
  <c r="BT115" i="4"/>
  <c r="BS115" i="4"/>
  <c r="BR115" i="4"/>
  <c r="BQ115" i="4"/>
  <c r="BP115" i="4"/>
  <c r="BO115" i="4"/>
  <c r="BN115" i="4"/>
  <c r="BM115" i="4"/>
  <c r="BL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BX114" i="4"/>
  <c r="BW114" i="4"/>
  <c r="BV114" i="4"/>
  <c r="BU114" i="4"/>
  <c r="BT114" i="4"/>
  <c r="BS114" i="4"/>
  <c r="BR114" i="4"/>
  <c r="BQ114" i="4"/>
  <c r="BP114" i="4"/>
  <c r="BO114" i="4"/>
  <c r="BN114" i="4"/>
  <c r="BM114" i="4"/>
  <c r="BL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BX113" i="4"/>
  <c r="BW113" i="4"/>
  <c r="BV113" i="4"/>
  <c r="BU113" i="4"/>
  <c r="BT113" i="4"/>
  <c r="BS113" i="4"/>
  <c r="BR113" i="4"/>
  <c r="BQ113" i="4"/>
  <c r="BP113" i="4"/>
  <c r="BO113" i="4"/>
  <c r="BN113" i="4"/>
  <c r="BM113" i="4"/>
  <c r="BL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BX112" i="4"/>
  <c r="BW112" i="4"/>
  <c r="BV112" i="4"/>
  <c r="BU112" i="4"/>
  <c r="BT112" i="4"/>
  <c r="BS112" i="4"/>
  <c r="BR112" i="4"/>
  <c r="BQ112" i="4"/>
  <c r="BP112" i="4"/>
  <c r="BO112" i="4"/>
  <c r="BN112" i="4"/>
  <c r="BM112" i="4"/>
  <c r="BL112" i="4"/>
  <c r="BK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BX111" i="4"/>
  <c r="BW111" i="4"/>
  <c r="BV111" i="4"/>
  <c r="BU111" i="4"/>
  <c r="BT111" i="4"/>
  <c r="BS111" i="4"/>
  <c r="BR111" i="4"/>
  <c r="BQ111" i="4"/>
  <c r="BP111" i="4"/>
  <c r="BO111" i="4"/>
  <c r="BN111" i="4"/>
  <c r="BM111" i="4"/>
  <c r="BL111" i="4"/>
  <c r="BK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BX110" i="4"/>
  <c r="BW110" i="4"/>
  <c r="BV110" i="4"/>
  <c r="BU110" i="4"/>
  <c r="BT110" i="4"/>
  <c r="BS110" i="4"/>
  <c r="BR110" i="4"/>
  <c r="BQ110" i="4"/>
  <c r="BP110" i="4"/>
  <c r="BO110" i="4"/>
  <c r="BN110" i="4"/>
  <c r="BM110" i="4"/>
  <c r="BL110" i="4"/>
  <c r="BK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BX107" i="4"/>
  <c r="BW107" i="4"/>
  <c r="BV107" i="4"/>
  <c r="BU107" i="4"/>
  <c r="BT107" i="4"/>
  <c r="BS107" i="4"/>
  <c r="BR107" i="4"/>
  <c r="BQ107" i="4"/>
  <c r="BP107" i="4"/>
  <c r="BO107" i="4"/>
  <c r="BN107" i="4"/>
  <c r="BM107" i="4"/>
  <c r="BL107" i="4"/>
  <c r="BK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BX106" i="4"/>
  <c r="BW106" i="4"/>
  <c r="BV106" i="4"/>
  <c r="BU106" i="4"/>
  <c r="BT106" i="4"/>
  <c r="BS106" i="4"/>
  <c r="BR106" i="4"/>
  <c r="BQ106" i="4"/>
  <c r="BP106" i="4"/>
  <c r="BO106" i="4"/>
  <c r="BN106" i="4"/>
  <c r="BM106" i="4"/>
  <c r="BL106" i="4"/>
  <c r="BK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BX81" i="4"/>
  <c r="BW81" i="4"/>
  <c r="BV81" i="4"/>
  <c r="BU81" i="4"/>
  <c r="BT81" i="4"/>
  <c r="BS81" i="4"/>
  <c r="BR81" i="4"/>
  <c r="BQ81" i="4"/>
  <c r="BP81" i="4"/>
  <c r="BO81" i="4"/>
  <c r="BN81" i="4"/>
  <c r="BD81" i="4"/>
  <c r="BC81" i="4"/>
  <c r="BB81" i="4"/>
  <c r="BA81" i="4"/>
  <c r="AZ81" i="4"/>
  <c r="AY81" i="4"/>
  <c r="AX81" i="4"/>
  <c r="AW81" i="4"/>
  <c r="AV81" i="4"/>
  <c r="AU81" i="4"/>
  <c r="AT81" i="4"/>
  <c r="BX80" i="4"/>
  <c r="BW80" i="4"/>
  <c r="BV80" i="4"/>
  <c r="BU80" i="4"/>
  <c r="BT80" i="4"/>
  <c r="BS80" i="4"/>
  <c r="BR80" i="4"/>
  <c r="BQ80" i="4"/>
  <c r="BP80" i="4"/>
  <c r="BO80" i="4"/>
  <c r="BC80" i="4"/>
  <c r="BB80" i="4"/>
  <c r="BA80" i="4"/>
  <c r="AZ80" i="4"/>
  <c r="AY80" i="4"/>
  <c r="AX80" i="4"/>
  <c r="AW80" i="4"/>
  <c r="AV80" i="4"/>
  <c r="AU80" i="4"/>
  <c r="AT80" i="4"/>
  <c r="BX79" i="4"/>
  <c r="BW79" i="4"/>
  <c r="BV79" i="4"/>
  <c r="BU79" i="4"/>
  <c r="BT79" i="4"/>
  <c r="BS79" i="4"/>
  <c r="BR79" i="4"/>
  <c r="BQ79" i="4"/>
  <c r="BP79" i="4"/>
  <c r="BO79" i="4"/>
  <c r="BC79" i="4"/>
  <c r="BB79" i="4"/>
  <c r="BA79" i="4"/>
  <c r="AZ79" i="4"/>
  <c r="AY79" i="4"/>
  <c r="AX79" i="4"/>
  <c r="AW79" i="4"/>
  <c r="AV79" i="4"/>
  <c r="AU79" i="4"/>
  <c r="AT79" i="4"/>
  <c r="BX78" i="4"/>
  <c r="BW78" i="4"/>
  <c r="BV78" i="4"/>
  <c r="BU78" i="4"/>
  <c r="BT78" i="4"/>
  <c r="BS78" i="4"/>
  <c r="BR78" i="4"/>
  <c r="BQ78" i="4"/>
  <c r="BP78" i="4"/>
  <c r="BB78" i="4"/>
  <c r="BA78" i="4"/>
  <c r="AZ78" i="4"/>
  <c r="AY78" i="4"/>
  <c r="AX78" i="4"/>
  <c r="AW78" i="4"/>
  <c r="AV78" i="4"/>
  <c r="AU78" i="4"/>
  <c r="AT78" i="4"/>
  <c r="BX77" i="4"/>
  <c r="BW77" i="4"/>
  <c r="BV77" i="4"/>
  <c r="BU77" i="4"/>
  <c r="BT77" i="4"/>
  <c r="BS77" i="4"/>
  <c r="BR77" i="4"/>
  <c r="BQ77" i="4"/>
  <c r="BP77" i="4"/>
  <c r="BB77" i="4"/>
  <c r="BA77" i="4"/>
  <c r="AZ77" i="4"/>
  <c r="AY77" i="4"/>
  <c r="AX77" i="4"/>
  <c r="AW77" i="4"/>
  <c r="AV77" i="4"/>
  <c r="AU77" i="4"/>
  <c r="AT77" i="4"/>
  <c r="BX76" i="4"/>
  <c r="BW76" i="4"/>
  <c r="BV76" i="4"/>
  <c r="BU76" i="4"/>
  <c r="BT76" i="4"/>
  <c r="BS76" i="4"/>
  <c r="BR76" i="4"/>
  <c r="BQ76" i="4"/>
  <c r="BP76" i="4"/>
  <c r="BB76" i="4"/>
  <c r="BA76" i="4"/>
  <c r="AZ76" i="4"/>
  <c r="AY76" i="4"/>
  <c r="AX76" i="4"/>
  <c r="AW76" i="4"/>
  <c r="AV76" i="4"/>
  <c r="AU76" i="4"/>
  <c r="AT76" i="4"/>
  <c r="BX75" i="4"/>
  <c r="BW75" i="4"/>
  <c r="BV75" i="4"/>
  <c r="BU75" i="4"/>
  <c r="BT75" i="4"/>
  <c r="BS75" i="4"/>
  <c r="BR75" i="4"/>
  <c r="BQ75" i="4"/>
  <c r="BP75" i="4"/>
  <c r="BB75" i="4"/>
  <c r="BA75" i="4"/>
  <c r="AZ75" i="4"/>
  <c r="AY75" i="4"/>
  <c r="AX75" i="4"/>
  <c r="AW75" i="4"/>
  <c r="AV75" i="4"/>
  <c r="AU75" i="4"/>
  <c r="AT75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K128" i="4"/>
  <c r="AJ128" i="4"/>
  <c r="H128" i="4"/>
  <c r="G128" i="4"/>
  <c r="AK127" i="4"/>
  <c r="AJ127" i="4"/>
  <c r="H127" i="4"/>
  <c r="G127" i="4"/>
  <c r="AK126" i="4"/>
  <c r="AJ126" i="4"/>
  <c r="AI126" i="4"/>
  <c r="I126" i="4"/>
  <c r="H126" i="4"/>
  <c r="G126" i="4"/>
  <c r="AK125" i="4"/>
  <c r="AJ125" i="4"/>
  <c r="AI125" i="4"/>
  <c r="I125" i="4"/>
  <c r="H125" i="4"/>
  <c r="G125" i="4"/>
  <c r="AK124" i="4"/>
  <c r="AJ124" i="4"/>
  <c r="AI124" i="4"/>
  <c r="AH124" i="4"/>
  <c r="J124" i="4"/>
  <c r="I124" i="4"/>
  <c r="H124" i="4"/>
  <c r="G124" i="4"/>
  <c r="AK123" i="4"/>
  <c r="AJ123" i="4"/>
  <c r="AI123" i="4"/>
  <c r="AH123" i="4"/>
  <c r="AG123" i="4"/>
  <c r="AF123" i="4"/>
  <c r="L123" i="4"/>
  <c r="K123" i="4"/>
  <c r="J123" i="4"/>
  <c r="I123" i="4"/>
  <c r="H123" i="4"/>
  <c r="G123" i="4"/>
  <c r="AK122" i="4"/>
  <c r="AJ122" i="4"/>
  <c r="AI122" i="4"/>
  <c r="AH122" i="4"/>
  <c r="AG122" i="4"/>
  <c r="AF122" i="4"/>
  <c r="AE122" i="4"/>
  <c r="AD122" i="4"/>
  <c r="N122" i="4"/>
  <c r="M122" i="4"/>
  <c r="L122" i="4"/>
  <c r="K122" i="4"/>
  <c r="J122" i="4"/>
  <c r="I122" i="4"/>
  <c r="H122" i="4"/>
  <c r="G122" i="4"/>
  <c r="AK121" i="4"/>
  <c r="AJ121" i="4"/>
  <c r="AI121" i="4"/>
  <c r="AH121" i="4"/>
  <c r="AG121" i="4"/>
  <c r="AF121" i="4"/>
  <c r="AE121" i="4"/>
  <c r="AD121" i="4"/>
  <c r="AC121" i="4"/>
  <c r="O121" i="4"/>
  <c r="N121" i="4"/>
  <c r="M121" i="4"/>
  <c r="L121" i="4"/>
  <c r="K121" i="4"/>
  <c r="J121" i="4"/>
  <c r="I121" i="4"/>
  <c r="H121" i="4"/>
  <c r="G121" i="4"/>
  <c r="AK120" i="4"/>
  <c r="AJ120" i="4"/>
  <c r="AI120" i="4"/>
  <c r="AH120" i="4"/>
  <c r="AG120" i="4"/>
  <c r="AF120" i="4"/>
  <c r="AE120" i="4"/>
  <c r="AD120" i="4"/>
  <c r="AC120" i="4"/>
  <c r="AB120" i="4"/>
  <c r="P120" i="4"/>
  <c r="O120" i="4"/>
  <c r="N120" i="4"/>
  <c r="M120" i="4"/>
  <c r="L120" i="4"/>
  <c r="K120" i="4"/>
  <c r="J120" i="4"/>
  <c r="I120" i="4"/>
  <c r="H120" i="4"/>
  <c r="G120" i="4"/>
  <c r="AK119" i="4"/>
  <c r="AJ119" i="4"/>
  <c r="AI119" i="4"/>
  <c r="AH119" i="4"/>
  <c r="AG119" i="4"/>
  <c r="AF119" i="4"/>
  <c r="AE119" i="4"/>
  <c r="AD119" i="4"/>
  <c r="AC119" i="4"/>
  <c r="AB119" i="4"/>
  <c r="AA119" i="4"/>
  <c r="Q119" i="4"/>
  <c r="P119" i="4"/>
  <c r="O119" i="4"/>
  <c r="N119" i="4"/>
  <c r="M119" i="4"/>
  <c r="L119" i="4"/>
  <c r="K119" i="4"/>
  <c r="J119" i="4"/>
  <c r="I119" i="4"/>
  <c r="H119" i="4"/>
  <c r="G119" i="4"/>
  <c r="AK118" i="4"/>
  <c r="AJ118" i="4"/>
  <c r="AI118" i="4"/>
  <c r="AH118" i="4"/>
  <c r="AG118" i="4"/>
  <c r="AF118" i="4"/>
  <c r="AE118" i="4"/>
  <c r="AD118" i="4"/>
  <c r="AC118" i="4"/>
  <c r="AB118" i="4"/>
  <c r="AA118" i="4"/>
  <c r="Q118" i="4"/>
  <c r="P118" i="4"/>
  <c r="O118" i="4"/>
  <c r="N118" i="4"/>
  <c r="M118" i="4"/>
  <c r="L118" i="4"/>
  <c r="K118" i="4"/>
  <c r="J118" i="4"/>
  <c r="I118" i="4"/>
  <c r="H118" i="4"/>
  <c r="G118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R82" i="4"/>
  <c r="Q82" i="4"/>
  <c r="P82" i="4"/>
  <c r="O82" i="4"/>
  <c r="N82" i="4"/>
  <c r="M82" i="4"/>
  <c r="L82" i="4"/>
  <c r="K82" i="4"/>
  <c r="J82" i="4"/>
  <c r="I82" i="4"/>
  <c r="H82" i="4"/>
  <c r="G82" i="4"/>
  <c r="AK81" i="4"/>
  <c r="AJ81" i="4"/>
  <c r="AI81" i="4"/>
  <c r="AH81" i="4"/>
  <c r="AG81" i="4"/>
  <c r="AF81" i="4"/>
  <c r="AE81" i="4"/>
  <c r="AD81" i="4"/>
  <c r="AC81" i="4"/>
  <c r="AB81" i="4"/>
  <c r="AA81" i="4"/>
  <c r="Q81" i="4"/>
  <c r="P81" i="4"/>
  <c r="O81" i="4"/>
  <c r="N81" i="4"/>
  <c r="M81" i="4"/>
  <c r="L81" i="4"/>
  <c r="K81" i="4"/>
  <c r="J81" i="4"/>
  <c r="I81" i="4"/>
  <c r="H81" i="4"/>
  <c r="G81" i="4"/>
  <c r="AK80" i="4"/>
  <c r="AJ80" i="4"/>
  <c r="AI80" i="4"/>
  <c r="AH80" i="4"/>
  <c r="AG80" i="4"/>
  <c r="AF80" i="4"/>
  <c r="AE80" i="4"/>
  <c r="AD80" i="4"/>
  <c r="AC80" i="4"/>
  <c r="AB80" i="4"/>
  <c r="P80" i="4"/>
  <c r="O80" i="4"/>
  <c r="N80" i="4"/>
  <c r="M80" i="4"/>
  <c r="L80" i="4"/>
  <c r="K80" i="4"/>
  <c r="J80" i="4"/>
  <c r="I80" i="4"/>
  <c r="H80" i="4"/>
  <c r="G80" i="4"/>
  <c r="AK79" i="4"/>
  <c r="AJ79" i="4"/>
  <c r="AI79" i="4"/>
  <c r="AH79" i="4"/>
  <c r="AG79" i="4"/>
  <c r="AF79" i="4"/>
  <c r="AE79" i="4"/>
  <c r="AD79" i="4"/>
  <c r="AC79" i="4"/>
  <c r="AB79" i="4"/>
  <c r="P79" i="4"/>
  <c r="O79" i="4"/>
  <c r="N79" i="4"/>
  <c r="M79" i="4"/>
  <c r="L79" i="4"/>
  <c r="K79" i="4"/>
  <c r="J79" i="4"/>
  <c r="I79" i="4"/>
  <c r="H79" i="4"/>
  <c r="G79" i="4"/>
  <c r="AK78" i="4"/>
  <c r="AJ78" i="4"/>
  <c r="AI78" i="4"/>
  <c r="AH78" i="4"/>
  <c r="AG78" i="4"/>
  <c r="AF78" i="4"/>
  <c r="AE78" i="4"/>
  <c r="AD78" i="4"/>
  <c r="AC78" i="4"/>
  <c r="O78" i="4"/>
  <c r="N78" i="4"/>
  <c r="M78" i="4"/>
  <c r="L78" i="4"/>
  <c r="K78" i="4"/>
  <c r="J78" i="4"/>
  <c r="I78" i="4"/>
  <c r="H78" i="4"/>
  <c r="G78" i="4"/>
  <c r="AK77" i="4"/>
  <c r="AJ77" i="4"/>
  <c r="AI77" i="4"/>
  <c r="AH77" i="4"/>
  <c r="AG77" i="4"/>
  <c r="AF77" i="4"/>
  <c r="AE77" i="4"/>
  <c r="AD77" i="4"/>
  <c r="AC77" i="4"/>
  <c r="O77" i="4"/>
  <c r="N77" i="4"/>
  <c r="M77" i="4"/>
  <c r="L77" i="4"/>
  <c r="K77" i="4"/>
  <c r="J77" i="4"/>
  <c r="I77" i="4"/>
  <c r="H77" i="4"/>
  <c r="G77" i="4"/>
  <c r="AK76" i="4"/>
  <c r="AJ76" i="4"/>
  <c r="AI76" i="4"/>
  <c r="AH76" i="4"/>
  <c r="AG76" i="4"/>
  <c r="AF76" i="4"/>
  <c r="AE76" i="4"/>
  <c r="AD76" i="4"/>
  <c r="AC76" i="4"/>
  <c r="O76" i="4"/>
  <c r="N76" i="4"/>
  <c r="M76" i="4"/>
  <c r="L76" i="4"/>
  <c r="K76" i="4"/>
  <c r="J76" i="4"/>
  <c r="I76" i="4"/>
  <c r="H76" i="4"/>
  <c r="G76" i="4"/>
  <c r="AK75" i="4"/>
  <c r="AJ75" i="4"/>
  <c r="AI75" i="4"/>
  <c r="AH75" i="4"/>
  <c r="AG75" i="4"/>
  <c r="AF75" i="4"/>
  <c r="AE75" i="4"/>
  <c r="AD75" i="4"/>
  <c r="AC75" i="4"/>
  <c r="O75" i="4"/>
  <c r="N75" i="4"/>
  <c r="M75" i="4"/>
  <c r="L75" i="4"/>
  <c r="K75" i="4"/>
  <c r="J75" i="4"/>
  <c r="I75" i="4"/>
  <c r="H75" i="4"/>
  <c r="G75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B6" i="4"/>
  <c r="AS177" i="4" s="1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J11" i="4"/>
  <c r="AC11" i="4"/>
  <c r="AD11" i="4"/>
  <c r="AE11" i="4"/>
  <c r="AF11" i="4"/>
  <c r="AG11" i="4"/>
  <c r="AH11" i="4"/>
  <c r="AI11" i="4"/>
  <c r="G11" i="4"/>
  <c r="H11" i="4"/>
  <c r="I11" i="4"/>
  <c r="J11" i="4"/>
  <c r="K11" i="4"/>
  <c r="L11" i="4"/>
  <c r="M11" i="4"/>
  <c r="N11" i="4"/>
  <c r="O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AH61" i="4"/>
  <c r="AI61" i="4"/>
  <c r="AJ61" i="4"/>
  <c r="AI62" i="4"/>
  <c r="AJ62" i="4"/>
  <c r="AI63" i="4"/>
  <c r="AJ63" i="4"/>
  <c r="H61" i="4"/>
  <c r="I61" i="4"/>
  <c r="J61" i="4"/>
  <c r="H62" i="4"/>
  <c r="I62" i="4"/>
  <c r="H63" i="4"/>
  <c r="I63" i="4"/>
  <c r="I60" i="4"/>
  <c r="J60" i="4"/>
  <c r="K60" i="4"/>
  <c r="L60" i="4"/>
  <c r="J59" i="4"/>
  <c r="K59" i="4"/>
  <c r="L59" i="4"/>
  <c r="M59" i="4"/>
  <c r="N59" i="4"/>
  <c r="H58" i="4"/>
  <c r="I58" i="4"/>
  <c r="J58" i="4"/>
  <c r="K58" i="4"/>
  <c r="L58" i="4"/>
  <c r="M58" i="4"/>
  <c r="N58" i="4"/>
  <c r="O58" i="4"/>
  <c r="O12" i="4"/>
  <c r="O13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H50" i="4"/>
  <c r="I50" i="4"/>
  <c r="J50" i="4"/>
  <c r="K50" i="4"/>
  <c r="L50" i="4"/>
  <c r="M50" i="4"/>
  <c r="N50" i="4"/>
  <c r="O50" i="4"/>
  <c r="P50" i="4"/>
  <c r="Q50" i="4"/>
  <c r="R50" i="4"/>
  <c r="S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H51" i="4"/>
  <c r="I51" i="4"/>
  <c r="J51" i="4"/>
  <c r="K51" i="4"/>
  <c r="L51" i="4"/>
  <c r="M51" i="4"/>
  <c r="N51" i="4"/>
  <c r="O51" i="4"/>
  <c r="P51" i="4"/>
  <c r="Q51" i="4"/>
  <c r="R51" i="4"/>
  <c r="S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N15" i="4"/>
  <c r="O15" i="4"/>
  <c r="O14" i="4"/>
  <c r="R19" i="4"/>
  <c r="T22" i="4"/>
  <c r="T23" i="4"/>
  <c r="T24" i="4"/>
  <c r="T25" i="4"/>
  <c r="T26" i="4"/>
  <c r="S20" i="4"/>
  <c r="S21" i="4"/>
  <c r="S22" i="4"/>
  <c r="S23" i="4"/>
  <c r="S24" i="4"/>
  <c r="S25" i="4"/>
  <c r="S26" i="4"/>
  <c r="T27" i="4"/>
  <c r="T28" i="4"/>
  <c r="T29" i="4"/>
  <c r="Q55" i="4"/>
  <c r="R20" i="4"/>
  <c r="R21" i="4"/>
  <c r="R22" i="4"/>
  <c r="P16" i="4"/>
  <c r="Q18" i="4"/>
  <c r="AC12" i="4"/>
  <c r="AD12" i="4"/>
  <c r="AE12" i="4"/>
  <c r="AF12" i="4"/>
  <c r="AG12" i="4"/>
  <c r="AH12" i="4"/>
  <c r="AI12" i="4"/>
  <c r="AJ12" i="4"/>
  <c r="AC13" i="4"/>
  <c r="AD13" i="4"/>
  <c r="AE13" i="4"/>
  <c r="AF13" i="4"/>
  <c r="AG13" i="4"/>
  <c r="AH13" i="4"/>
  <c r="AI13" i="4"/>
  <c r="AJ13" i="4"/>
  <c r="AC14" i="4"/>
  <c r="AD14" i="4"/>
  <c r="AE14" i="4"/>
  <c r="AF14" i="4"/>
  <c r="AG14" i="4"/>
  <c r="AH14" i="4"/>
  <c r="AI14" i="4"/>
  <c r="AJ14" i="4"/>
  <c r="AC15" i="4"/>
  <c r="AD15" i="4"/>
  <c r="AE15" i="4"/>
  <c r="AF15" i="4"/>
  <c r="AG15" i="4"/>
  <c r="AH15" i="4"/>
  <c r="AI15" i="4"/>
  <c r="AJ15" i="4"/>
  <c r="AB16" i="4"/>
  <c r="AC16" i="4"/>
  <c r="AD16" i="4"/>
  <c r="AE16" i="4"/>
  <c r="AF16" i="4"/>
  <c r="AG16" i="4"/>
  <c r="AH16" i="4"/>
  <c r="AI16" i="4"/>
  <c r="AJ16" i="4"/>
  <c r="AB17" i="4"/>
  <c r="AC17" i="4"/>
  <c r="AD17" i="4"/>
  <c r="AE17" i="4"/>
  <c r="AF17" i="4"/>
  <c r="AG17" i="4"/>
  <c r="AH17" i="4"/>
  <c r="AI17" i="4"/>
  <c r="AJ17" i="4"/>
  <c r="AA18" i="4"/>
  <c r="AB18" i="4"/>
  <c r="AC18" i="4"/>
  <c r="AD18" i="4"/>
  <c r="AE18" i="4"/>
  <c r="AF18" i="4"/>
  <c r="AG18" i="4"/>
  <c r="AH18" i="4"/>
  <c r="AI18" i="4"/>
  <c r="AJ18" i="4"/>
  <c r="Z19" i="4"/>
  <c r="AA19" i="4"/>
  <c r="AB19" i="4"/>
  <c r="AC19" i="4"/>
  <c r="AD19" i="4"/>
  <c r="AE19" i="4"/>
  <c r="AF19" i="4"/>
  <c r="AG19" i="4"/>
  <c r="AH19" i="4"/>
  <c r="AI19" i="4"/>
  <c r="AJ19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Z53" i="4"/>
  <c r="AA53" i="4"/>
  <c r="AB53" i="4"/>
  <c r="AC53" i="4"/>
  <c r="AD53" i="4"/>
  <c r="AE53" i="4"/>
  <c r="AF53" i="4"/>
  <c r="AG53" i="4"/>
  <c r="AH53" i="4"/>
  <c r="AI53" i="4"/>
  <c r="AJ53" i="4"/>
  <c r="Z54" i="4"/>
  <c r="AA54" i="4"/>
  <c r="AB54" i="4"/>
  <c r="AC54" i="4"/>
  <c r="AD54" i="4"/>
  <c r="AE54" i="4"/>
  <c r="AF54" i="4"/>
  <c r="AG54" i="4"/>
  <c r="AH54" i="4"/>
  <c r="AI54" i="4"/>
  <c r="AJ54" i="4"/>
  <c r="AA55" i="4"/>
  <c r="AB55" i="4"/>
  <c r="AC55" i="4"/>
  <c r="AD55" i="4"/>
  <c r="AE55" i="4"/>
  <c r="AF55" i="4"/>
  <c r="AG55" i="4"/>
  <c r="AH55" i="4"/>
  <c r="AI55" i="4"/>
  <c r="AJ55" i="4"/>
  <c r="AA56" i="4"/>
  <c r="AB56" i="4"/>
  <c r="AC56" i="4"/>
  <c r="AD56" i="4"/>
  <c r="AE56" i="4"/>
  <c r="AF56" i="4"/>
  <c r="AG56" i="4"/>
  <c r="AH56" i="4"/>
  <c r="AI56" i="4"/>
  <c r="AJ56" i="4"/>
  <c r="AB57" i="4"/>
  <c r="AC57" i="4"/>
  <c r="AD57" i="4"/>
  <c r="AE57" i="4"/>
  <c r="AF57" i="4"/>
  <c r="AG57" i="4"/>
  <c r="AH57" i="4"/>
  <c r="AI57" i="4"/>
  <c r="AJ57" i="4"/>
  <c r="AC58" i="4"/>
  <c r="AD58" i="4"/>
  <c r="AE58" i="4"/>
  <c r="AF58" i="4"/>
  <c r="AG58" i="4"/>
  <c r="AH58" i="4"/>
  <c r="AI58" i="4"/>
  <c r="AJ58" i="4"/>
  <c r="AD59" i="4"/>
  <c r="AE59" i="4"/>
  <c r="AF59" i="4"/>
  <c r="AG59" i="4"/>
  <c r="AH59" i="4"/>
  <c r="AI59" i="4"/>
  <c r="AJ59" i="4"/>
  <c r="AF60" i="4"/>
  <c r="AG60" i="4"/>
  <c r="AH60" i="4"/>
  <c r="AI60" i="4"/>
  <c r="AJ60" i="4"/>
  <c r="AJ64" i="4"/>
  <c r="AJ65" i="4"/>
  <c r="H12" i="4"/>
  <c r="I12" i="4"/>
  <c r="J12" i="4"/>
  <c r="K12" i="4"/>
  <c r="L12" i="4"/>
  <c r="M12" i="4"/>
  <c r="N12" i="4"/>
  <c r="H13" i="4"/>
  <c r="I13" i="4"/>
  <c r="J13" i="4"/>
  <c r="K13" i="4"/>
  <c r="L13" i="4"/>
  <c r="M13" i="4"/>
  <c r="N13" i="4"/>
  <c r="H14" i="4"/>
  <c r="I14" i="4"/>
  <c r="J14" i="4"/>
  <c r="K14" i="4"/>
  <c r="L14" i="4"/>
  <c r="M14" i="4"/>
  <c r="N14" i="4"/>
  <c r="H15" i="4"/>
  <c r="I15" i="4"/>
  <c r="J15" i="4"/>
  <c r="K15" i="4"/>
  <c r="L15" i="4"/>
  <c r="M15" i="4"/>
  <c r="H16" i="4"/>
  <c r="I16" i="4"/>
  <c r="J16" i="4"/>
  <c r="K16" i="4"/>
  <c r="L16" i="4"/>
  <c r="M16" i="4"/>
  <c r="N16" i="4"/>
  <c r="O16" i="4"/>
  <c r="H17" i="4"/>
  <c r="I17" i="4"/>
  <c r="J17" i="4"/>
  <c r="K17" i="4"/>
  <c r="L17" i="4"/>
  <c r="M17" i="4"/>
  <c r="N17" i="4"/>
  <c r="O17" i="4"/>
  <c r="P17" i="4"/>
  <c r="H18" i="4"/>
  <c r="I18" i="4"/>
  <c r="J18" i="4"/>
  <c r="K18" i="4"/>
  <c r="L18" i="4"/>
  <c r="M18" i="4"/>
  <c r="N18" i="4"/>
  <c r="O18" i="4"/>
  <c r="P18" i="4"/>
  <c r="H19" i="4"/>
  <c r="I19" i="4"/>
  <c r="J19" i="4"/>
  <c r="K19" i="4"/>
  <c r="L19" i="4"/>
  <c r="M19" i="4"/>
  <c r="N19" i="4"/>
  <c r="O19" i="4"/>
  <c r="P19" i="4"/>
  <c r="Q19" i="4"/>
  <c r="H20" i="4"/>
  <c r="I20" i="4"/>
  <c r="J20" i="4"/>
  <c r="K20" i="4"/>
  <c r="L20" i="4"/>
  <c r="M20" i="4"/>
  <c r="N20" i="4"/>
  <c r="O20" i="4"/>
  <c r="P20" i="4"/>
  <c r="Q20" i="4"/>
  <c r="H21" i="4"/>
  <c r="I21" i="4"/>
  <c r="J21" i="4"/>
  <c r="K21" i="4"/>
  <c r="L21" i="4"/>
  <c r="M21" i="4"/>
  <c r="N21" i="4"/>
  <c r="O21" i="4"/>
  <c r="P21" i="4"/>
  <c r="Q21" i="4"/>
  <c r="H22" i="4"/>
  <c r="I22" i="4"/>
  <c r="J22" i="4"/>
  <c r="K22" i="4"/>
  <c r="L22" i="4"/>
  <c r="M22" i="4"/>
  <c r="N22" i="4"/>
  <c r="O22" i="4"/>
  <c r="P22" i="4"/>
  <c r="Q22" i="4"/>
  <c r="H23" i="4"/>
  <c r="I23" i="4"/>
  <c r="J23" i="4"/>
  <c r="K23" i="4"/>
  <c r="L23" i="4"/>
  <c r="M23" i="4"/>
  <c r="N23" i="4"/>
  <c r="O23" i="4"/>
  <c r="P23" i="4"/>
  <c r="Q23" i="4"/>
  <c r="R23" i="4"/>
  <c r="H24" i="4"/>
  <c r="I24" i="4"/>
  <c r="J24" i="4"/>
  <c r="K24" i="4"/>
  <c r="L24" i="4"/>
  <c r="M24" i="4"/>
  <c r="N24" i="4"/>
  <c r="O24" i="4"/>
  <c r="P24" i="4"/>
  <c r="Q24" i="4"/>
  <c r="R24" i="4"/>
  <c r="H25" i="4"/>
  <c r="I25" i="4"/>
  <c r="J25" i="4"/>
  <c r="K25" i="4"/>
  <c r="L25" i="4"/>
  <c r="M25" i="4"/>
  <c r="N25" i="4"/>
  <c r="O25" i="4"/>
  <c r="P25" i="4"/>
  <c r="Q25" i="4"/>
  <c r="R25" i="4"/>
  <c r="H26" i="4"/>
  <c r="I26" i="4"/>
  <c r="J26" i="4"/>
  <c r="K26" i="4"/>
  <c r="L26" i="4"/>
  <c r="M26" i="4"/>
  <c r="N26" i="4"/>
  <c r="O26" i="4"/>
  <c r="P26" i="4"/>
  <c r="Q26" i="4"/>
  <c r="R26" i="4"/>
  <c r="H27" i="4"/>
  <c r="I27" i="4"/>
  <c r="J27" i="4"/>
  <c r="K27" i="4"/>
  <c r="L27" i="4"/>
  <c r="M27" i="4"/>
  <c r="N27" i="4"/>
  <c r="O27" i="4"/>
  <c r="P27" i="4"/>
  <c r="Q27" i="4"/>
  <c r="R27" i="4"/>
  <c r="S27" i="4"/>
  <c r="H28" i="4"/>
  <c r="I28" i="4"/>
  <c r="J28" i="4"/>
  <c r="K28" i="4"/>
  <c r="L28" i="4"/>
  <c r="M28" i="4"/>
  <c r="N28" i="4"/>
  <c r="O28" i="4"/>
  <c r="P28" i="4"/>
  <c r="Q28" i="4"/>
  <c r="R28" i="4"/>
  <c r="S28" i="4"/>
  <c r="H29" i="4"/>
  <c r="I29" i="4"/>
  <c r="J29" i="4"/>
  <c r="K29" i="4"/>
  <c r="L29" i="4"/>
  <c r="M29" i="4"/>
  <c r="N29" i="4"/>
  <c r="O29" i="4"/>
  <c r="P29" i="4"/>
  <c r="Q29" i="4"/>
  <c r="R29" i="4"/>
  <c r="S29" i="4"/>
  <c r="H52" i="4"/>
  <c r="I52" i="4"/>
  <c r="J52" i="4"/>
  <c r="K52" i="4"/>
  <c r="L52" i="4"/>
  <c r="M52" i="4"/>
  <c r="N52" i="4"/>
  <c r="O52" i="4"/>
  <c r="P52" i="4"/>
  <c r="Q52" i="4"/>
  <c r="R52" i="4"/>
  <c r="S52" i="4"/>
  <c r="H53" i="4"/>
  <c r="I53" i="4"/>
  <c r="J53" i="4"/>
  <c r="K53" i="4"/>
  <c r="L53" i="4"/>
  <c r="M53" i="4"/>
  <c r="N53" i="4"/>
  <c r="O53" i="4"/>
  <c r="P53" i="4"/>
  <c r="Q53" i="4"/>
  <c r="R53" i="4"/>
  <c r="H54" i="4"/>
  <c r="I54" i="4"/>
  <c r="J54" i="4"/>
  <c r="K54" i="4"/>
  <c r="L54" i="4"/>
  <c r="M54" i="4"/>
  <c r="N54" i="4"/>
  <c r="O54" i="4"/>
  <c r="P54" i="4"/>
  <c r="Q54" i="4"/>
  <c r="R54" i="4"/>
  <c r="H55" i="4"/>
  <c r="I55" i="4"/>
  <c r="J55" i="4"/>
  <c r="K55" i="4"/>
  <c r="L55" i="4"/>
  <c r="M55" i="4"/>
  <c r="N55" i="4"/>
  <c r="O55" i="4"/>
  <c r="P55" i="4"/>
  <c r="H56" i="4"/>
  <c r="I56" i="4"/>
  <c r="J56" i="4"/>
  <c r="K56" i="4"/>
  <c r="L56" i="4"/>
  <c r="M56" i="4"/>
  <c r="N56" i="4"/>
  <c r="O56" i="4"/>
  <c r="P56" i="4"/>
  <c r="H57" i="4"/>
  <c r="I57" i="4"/>
  <c r="J57" i="4"/>
  <c r="K57" i="4"/>
  <c r="L57" i="4"/>
  <c r="M57" i="4"/>
  <c r="N57" i="4"/>
  <c r="O57" i="4"/>
  <c r="P57" i="4"/>
  <c r="H59" i="4"/>
  <c r="I59" i="4"/>
  <c r="H60" i="4"/>
  <c r="H64" i="4"/>
  <c r="H65" i="4"/>
  <c r="R85" i="5" l="1"/>
  <c r="AK9" i="5" s="1"/>
  <c r="AK7" i="5"/>
  <c r="F80" i="5"/>
  <c r="Y9" i="5" s="1"/>
  <c r="Z10" i="5" s="1"/>
  <c r="Y8" i="5"/>
  <c r="AM8" i="5"/>
  <c r="T85" i="5"/>
  <c r="AM9" i="5" s="1"/>
  <c r="G80" i="5"/>
  <c r="Z9" i="5" s="1"/>
  <c r="Z7" i="5"/>
  <c r="H80" i="5"/>
  <c r="AA9" i="5" s="1"/>
  <c r="AA7" i="5"/>
  <c r="O85" i="5"/>
  <c r="AH9" i="5" s="1"/>
  <c r="AH7" i="5"/>
  <c r="H5" i="5"/>
  <c r="Z17" i="5"/>
  <c r="F58" i="5"/>
  <c r="I80" i="5"/>
  <c r="AB9" i="5" s="1"/>
  <c r="AB7" i="5"/>
  <c r="P85" i="5"/>
  <c r="AI9" i="5" s="1"/>
  <c r="AI7" i="5"/>
  <c r="Q85" i="5"/>
  <c r="AJ9" i="5" s="1"/>
  <c r="AJ7" i="5"/>
  <c r="T83" i="5"/>
  <c r="S85" i="5"/>
  <c r="AL9" i="5" s="1"/>
  <c r="AL7" i="5"/>
  <c r="Z18" i="5"/>
  <c r="T12" i="5"/>
  <c r="T49" i="5"/>
  <c r="L80" i="5"/>
  <c r="M80" i="5"/>
  <c r="K78" i="5"/>
  <c r="N79" i="5"/>
  <c r="I77" i="5"/>
  <c r="H77" i="5"/>
  <c r="J78" i="5"/>
  <c r="Q81" i="5"/>
  <c r="J79" i="5"/>
  <c r="O82" i="5"/>
  <c r="K81" i="5"/>
  <c r="AD9" i="5" s="1"/>
  <c r="R82" i="5"/>
  <c r="L77" i="5"/>
  <c r="N82" i="5"/>
  <c r="S84" i="5"/>
  <c r="O79" i="5"/>
  <c r="P79" i="5"/>
  <c r="G76" i="5"/>
  <c r="O81" i="5"/>
  <c r="I78" i="5"/>
  <c r="L82" i="5"/>
  <c r="AE9" i="5" s="1"/>
  <c r="N83" i="5"/>
  <c r="P81" i="5"/>
  <c r="K80" i="5"/>
  <c r="Q84" i="5"/>
  <c r="H78" i="5"/>
  <c r="Q82" i="5"/>
  <c r="L81" i="5"/>
  <c r="O83" i="5"/>
  <c r="Q79" i="5"/>
  <c r="K79" i="5"/>
  <c r="N80" i="5"/>
  <c r="S83" i="5"/>
  <c r="P84" i="5"/>
  <c r="Q83" i="5"/>
  <c r="R83" i="5"/>
  <c r="P83" i="5"/>
  <c r="J80" i="5"/>
  <c r="AC9" i="5" s="1"/>
  <c r="R79" i="5"/>
  <c r="Q80" i="5"/>
  <c r="N81" i="5"/>
  <c r="Q78" i="5"/>
  <c r="N84" i="5"/>
  <c r="AG9" i="5" s="1"/>
  <c r="I79" i="5"/>
  <c r="P80" i="5"/>
  <c r="O80" i="5"/>
  <c r="R84" i="5"/>
  <c r="R80" i="5"/>
  <c r="M82" i="5"/>
  <c r="R77" i="5"/>
  <c r="R81" i="5"/>
  <c r="G78" i="5"/>
  <c r="R78" i="5"/>
  <c r="Q77" i="5"/>
  <c r="P82" i="5"/>
  <c r="M83" i="5"/>
  <c r="AF9" i="5" s="1"/>
  <c r="CV192" i="4"/>
  <c r="CW192" i="4"/>
  <c r="CU192" i="4"/>
  <c r="CZ81" i="4"/>
  <c r="AM89" i="4"/>
  <c r="F87" i="4"/>
  <c r="AM106" i="4"/>
  <c r="AM109" i="4"/>
  <c r="AM112" i="4"/>
  <c r="AM124" i="4"/>
  <c r="AM125" i="4"/>
  <c r="AM126" i="4"/>
  <c r="DM139" i="4"/>
  <c r="AM92" i="4"/>
  <c r="AM95" i="4"/>
  <c r="AS80" i="4"/>
  <c r="BZ85" i="4"/>
  <c r="AS97" i="4"/>
  <c r="CF77" i="4"/>
  <c r="F74" i="4"/>
  <c r="AM74" i="4"/>
  <c r="AM77" i="4"/>
  <c r="AM79" i="4"/>
  <c r="AM83" i="4"/>
  <c r="AM94" i="4"/>
  <c r="AM97" i="4"/>
  <c r="AM100" i="4"/>
  <c r="AM103" i="4"/>
  <c r="F107" i="4"/>
  <c r="F125" i="4"/>
  <c r="F126" i="4"/>
  <c r="F127" i="4"/>
  <c r="AS75" i="4"/>
  <c r="AS90" i="4"/>
  <c r="BZ110" i="4"/>
  <c r="AS116" i="4"/>
  <c r="DM102" i="4"/>
  <c r="DM117" i="4"/>
  <c r="FA127" i="4"/>
  <c r="DM141" i="4"/>
  <c r="F84" i="4"/>
  <c r="AM85" i="4"/>
  <c r="AM88" i="4"/>
  <c r="AM91" i="4"/>
  <c r="F95" i="4"/>
  <c r="AM115" i="4"/>
  <c r="AM122" i="4"/>
  <c r="AS85" i="4"/>
  <c r="DM93" i="4"/>
  <c r="FA120" i="4"/>
  <c r="AM86" i="4"/>
  <c r="AM114" i="4"/>
  <c r="AS84" i="4"/>
  <c r="DM96" i="4"/>
  <c r="AM75" i="4"/>
  <c r="AM102" i="4"/>
  <c r="AM105" i="4"/>
  <c r="AM108" i="4"/>
  <c r="AM111" i="4"/>
  <c r="AM113" i="4"/>
  <c r="F116" i="4"/>
  <c r="AM119" i="4"/>
  <c r="F123" i="4"/>
  <c r="BZ81" i="4"/>
  <c r="DT86" i="4"/>
  <c r="AM78" i="4"/>
  <c r="AM90" i="4"/>
  <c r="AM93" i="4"/>
  <c r="AM96" i="4"/>
  <c r="AM99" i="4"/>
  <c r="F103" i="4"/>
  <c r="F114" i="4"/>
  <c r="AM116" i="4"/>
  <c r="AM118" i="4"/>
  <c r="AS76" i="4"/>
  <c r="BZ80" i="4"/>
  <c r="AS83" i="4"/>
  <c r="AS87" i="4"/>
  <c r="BZ103" i="4"/>
  <c r="AS114" i="4"/>
  <c r="CF100" i="4"/>
  <c r="DM122" i="4"/>
  <c r="DT84" i="4"/>
  <c r="DT92" i="4"/>
  <c r="BZ143" i="4"/>
  <c r="F99" i="4"/>
  <c r="AM81" i="4"/>
  <c r="AM84" i="4"/>
  <c r="AM87" i="4"/>
  <c r="F91" i="4"/>
  <c r="AM110" i="4"/>
  <c r="AM117" i="4"/>
  <c r="FA105" i="4"/>
  <c r="DT114" i="4"/>
  <c r="CF159" i="4"/>
  <c r="AM76" i="4"/>
  <c r="AM80" i="4"/>
  <c r="AM82" i="4"/>
  <c r="AM98" i="4"/>
  <c r="AM101" i="4"/>
  <c r="AM104" i="4"/>
  <c r="AM107" i="4"/>
  <c r="F111" i="4"/>
  <c r="BZ92" i="4"/>
  <c r="CF106" i="4"/>
  <c r="FA111" i="4"/>
  <c r="CF171" i="4"/>
  <c r="AM120" i="4"/>
  <c r="BZ77" i="4"/>
  <c r="AS81" i="4"/>
  <c r="AS82" i="4"/>
  <c r="AS86" i="4"/>
  <c r="BZ88" i="4"/>
  <c r="AS93" i="4"/>
  <c r="BZ99" i="4"/>
  <c r="BZ106" i="4"/>
  <c r="AS111" i="4"/>
  <c r="BZ116" i="4"/>
  <c r="AS121" i="4"/>
  <c r="CF75" i="4"/>
  <c r="DM80" i="4"/>
  <c r="DM81" i="4"/>
  <c r="DM84" i="4"/>
  <c r="CF88" i="4"/>
  <c r="DM90" i="4"/>
  <c r="CF94" i="4"/>
  <c r="FA93" i="4"/>
  <c r="FA99" i="4"/>
  <c r="DT103" i="4"/>
  <c r="DT106" i="4"/>
  <c r="DT112" i="4"/>
  <c r="DT121" i="4"/>
  <c r="BZ140" i="4"/>
  <c r="BZ142" i="4"/>
  <c r="CF143" i="4"/>
  <c r="AM146" i="4"/>
  <c r="AM148" i="4"/>
  <c r="CF161" i="4"/>
  <c r="CF174" i="4"/>
  <c r="CF188" i="4"/>
  <c r="F76" i="4"/>
  <c r="F78" i="4"/>
  <c r="F81" i="4"/>
  <c r="F82" i="4"/>
  <c r="F86" i="4"/>
  <c r="F90" i="4"/>
  <c r="F94" i="4"/>
  <c r="F98" i="4"/>
  <c r="F102" i="4"/>
  <c r="F106" i="4"/>
  <c r="F110" i="4"/>
  <c r="F117" i="4"/>
  <c r="F121" i="4"/>
  <c r="BZ75" i="4"/>
  <c r="AS78" i="4"/>
  <c r="BZ79" i="4"/>
  <c r="BZ82" i="4"/>
  <c r="BZ84" i="4"/>
  <c r="AS89" i="4"/>
  <c r="BZ95" i="4"/>
  <c r="BZ102" i="4"/>
  <c r="AS107" i="4"/>
  <c r="BZ109" i="4"/>
  <c r="AS117" i="4"/>
  <c r="BZ124" i="4"/>
  <c r="BZ125" i="4"/>
  <c r="BZ126" i="4"/>
  <c r="CF81" i="4"/>
  <c r="CF82" i="4"/>
  <c r="DM101" i="4"/>
  <c r="DM104" i="4"/>
  <c r="CF108" i="4"/>
  <c r="DM110" i="4"/>
  <c r="DM114" i="4"/>
  <c r="DT74" i="4"/>
  <c r="FA74" i="4"/>
  <c r="FA76" i="4"/>
  <c r="FA78" i="4"/>
  <c r="FA87" i="4"/>
  <c r="DT91" i="4"/>
  <c r="DT94" i="4"/>
  <c r="DT100" i="4"/>
  <c r="AM139" i="4"/>
  <c r="AM141" i="4"/>
  <c r="DM145" i="4"/>
  <c r="BZ146" i="4"/>
  <c r="BZ147" i="4"/>
  <c r="CF150" i="4"/>
  <c r="CF162" i="4"/>
  <c r="CF175" i="4"/>
  <c r="DT178" i="4"/>
  <c r="CF191" i="4"/>
  <c r="BZ91" i="4"/>
  <c r="BZ98" i="4"/>
  <c r="AS103" i="4"/>
  <c r="BZ105" i="4"/>
  <c r="AS110" i="4"/>
  <c r="BZ112" i="4"/>
  <c r="BZ114" i="4"/>
  <c r="BZ117" i="4"/>
  <c r="BZ118" i="4"/>
  <c r="BZ119" i="4"/>
  <c r="AS125" i="4"/>
  <c r="AS126" i="4"/>
  <c r="AS127" i="4"/>
  <c r="DM77" i="4"/>
  <c r="DM82" i="4"/>
  <c r="DM89" i="4"/>
  <c r="DM92" i="4"/>
  <c r="CF96" i="4"/>
  <c r="DM98" i="4"/>
  <c r="CF102" i="4"/>
  <c r="DM120" i="4"/>
  <c r="DT75" i="4"/>
  <c r="DT77" i="4"/>
  <c r="DT79" i="4"/>
  <c r="DT88" i="4"/>
  <c r="FA101" i="4"/>
  <c r="FA107" i="4"/>
  <c r="DT111" i="4"/>
  <c r="FA123" i="4"/>
  <c r="DT127" i="4"/>
  <c r="FA139" i="4"/>
  <c r="FA141" i="4"/>
  <c r="BZ145" i="4"/>
  <c r="DM146" i="4"/>
  <c r="CF151" i="4"/>
  <c r="CF163" i="4"/>
  <c r="F80" i="4"/>
  <c r="F83" i="4"/>
  <c r="F85" i="4"/>
  <c r="F89" i="4"/>
  <c r="F93" i="4"/>
  <c r="F97" i="4"/>
  <c r="F101" i="4"/>
  <c r="F105" i="4"/>
  <c r="F109" i="4"/>
  <c r="F113" i="4"/>
  <c r="F115" i="4"/>
  <c r="F118" i="4"/>
  <c r="F119" i="4"/>
  <c r="F120" i="4"/>
  <c r="BZ87" i="4"/>
  <c r="BZ94" i="4"/>
  <c r="AS99" i="4"/>
  <c r="BZ101" i="4"/>
  <c r="AS106" i="4"/>
  <c r="BZ108" i="4"/>
  <c r="AS113" i="4"/>
  <c r="AS115" i="4"/>
  <c r="AS118" i="4"/>
  <c r="AS119" i="4"/>
  <c r="AS120" i="4"/>
  <c r="BZ122" i="4"/>
  <c r="DM75" i="4"/>
  <c r="CF78" i="4"/>
  <c r="DM79" i="4"/>
  <c r="DM86" i="4"/>
  <c r="CF90" i="4"/>
  <c r="DM109" i="4"/>
  <c r="DM112" i="4"/>
  <c r="CF121" i="4"/>
  <c r="DM126" i="4"/>
  <c r="FA80" i="4"/>
  <c r="FA81" i="4"/>
  <c r="FA89" i="4"/>
  <c r="FA95" i="4"/>
  <c r="DT99" i="4"/>
  <c r="DT102" i="4"/>
  <c r="DT108" i="4"/>
  <c r="FA121" i="4"/>
  <c r="DT124" i="4"/>
  <c r="DT126" i="4"/>
  <c r="DM140" i="4"/>
  <c r="DM142" i="4"/>
  <c r="BZ144" i="4"/>
  <c r="FA146" i="4"/>
  <c r="BZ148" i="4"/>
  <c r="CF153" i="4"/>
  <c r="CF166" i="4"/>
  <c r="AM121" i="4"/>
  <c r="AM123" i="4"/>
  <c r="AM127" i="4"/>
  <c r="BZ78" i="4"/>
  <c r="BZ90" i="4"/>
  <c r="AS95" i="4"/>
  <c r="BZ97" i="4"/>
  <c r="AS102" i="4"/>
  <c r="BZ104" i="4"/>
  <c r="AS109" i="4"/>
  <c r="AS123" i="4"/>
  <c r="CF76" i="4"/>
  <c r="DM97" i="4"/>
  <c r="DM100" i="4"/>
  <c r="CF104" i="4"/>
  <c r="DM106" i="4"/>
  <c r="CF110" i="4"/>
  <c r="DM115" i="4"/>
  <c r="CF124" i="4"/>
  <c r="DM125" i="4"/>
  <c r="DT81" i="4"/>
  <c r="DT82" i="4"/>
  <c r="DT87" i="4"/>
  <c r="DT90" i="4"/>
  <c r="DT96" i="4"/>
  <c r="FA109" i="4"/>
  <c r="DT116" i="4"/>
  <c r="DT122" i="4"/>
  <c r="DT125" i="4"/>
  <c r="BZ139" i="4"/>
  <c r="BZ141" i="4"/>
  <c r="CF144" i="4"/>
  <c r="CF154" i="4"/>
  <c r="CF167" i="4"/>
  <c r="F64" i="4"/>
  <c r="BZ191" i="4"/>
  <c r="BZ188" i="4"/>
  <c r="BZ187" i="4"/>
  <c r="BZ186" i="4"/>
  <c r="DM185" i="4"/>
  <c r="AM185" i="4"/>
  <c r="BZ184" i="4"/>
  <c r="BZ181" i="4"/>
  <c r="BZ180" i="4"/>
  <c r="DM179" i="4"/>
  <c r="AM179" i="4"/>
  <c r="DM178" i="4"/>
  <c r="AM178" i="4"/>
  <c r="DM177" i="4"/>
  <c r="AM177" i="4"/>
  <c r="BZ176" i="4"/>
  <c r="BZ175" i="4"/>
  <c r="BZ174" i="4"/>
  <c r="BZ173" i="4"/>
  <c r="BZ172" i="4"/>
  <c r="BZ171" i="4"/>
  <c r="BZ170" i="4"/>
  <c r="BZ169" i="4"/>
  <c r="BZ168" i="4"/>
  <c r="BZ167" i="4"/>
  <c r="BZ166" i="4"/>
  <c r="BZ165" i="4"/>
  <c r="BZ164" i="4"/>
  <c r="BZ163" i="4"/>
  <c r="BZ162" i="4"/>
  <c r="BZ161" i="4"/>
  <c r="BZ160" i="4"/>
  <c r="BZ159" i="4"/>
  <c r="BZ158" i="4"/>
  <c r="BZ157" i="4"/>
  <c r="BZ156" i="4"/>
  <c r="BZ155" i="4"/>
  <c r="BZ154" i="4"/>
  <c r="BZ153" i="4"/>
  <c r="BZ152" i="4"/>
  <c r="BZ151" i="4"/>
  <c r="BZ150" i="4"/>
  <c r="BZ149" i="4"/>
  <c r="DM148" i="4"/>
  <c r="DT191" i="4"/>
  <c r="AS188" i="4"/>
  <c r="DT187" i="4"/>
  <c r="AS186" i="4"/>
  <c r="DT184" i="4"/>
  <c r="AS181" i="4"/>
  <c r="AS180" i="4"/>
  <c r="DT176" i="4"/>
  <c r="DT175" i="4"/>
  <c r="DT174" i="4"/>
  <c r="DT173" i="4"/>
  <c r="DT172" i="4"/>
  <c r="DT171" i="4"/>
  <c r="DT170" i="4"/>
  <c r="DT169" i="4"/>
  <c r="DT168" i="4"/>
  <c r="DT167" i="4"/>
  <c r="DT166" i="4"/>
  <c r="DT165" i="4"/>
  <c r="DT164" i="4"/>
  <c r="DT163" i="4"/>
  <c r="DT162" i="4"/>
  <c r="DT161" i="4"/>
  <c r="DT160" i="4"/>
  <c r="DT159" i="4"/>
  <c r="DT158" i="4"/>
  <c r="DT157" i="4"/>
  <c r="DT156" i="4"/>
  <c r="DT155" i="4"/>
  <c r="DT154" i="4"/>
  <c r="DT153" i="4"/>
  <c r="DT152" i="4"/>
  <c r="DT151" i="4"/>
  <c r="DT150" i="4"/>
  <c r="DT149" i="4"/>
  <c r="AS146" i="4"/>
  <c r="DT144" i="4"/>
  <c r="DT143" i="4"/>
  <c r="DM191" i="4"/>
  <c r="AM188" i="4"/>
  <c r="DM187" i="4"/>
  <c r="AM186" i="4"/>
  <c r="DM184" i="4"/>
  <c r="AM181" i="4"/>
  <c r="AM180" i="4"/>
  <c r="DM176" i="4"/>
  <c r="DM175" i="4"/>
  <c r="DM174" i="4"/>
  <c r="DM173" i="4"/>
  <c r="DM172" i="4"/>
  <c r="DM171" i="4"/>
  <c r="DM170" i="4"/>
  <c r="DM169" i="4"/>
  <c r="DM168" i="4"/>
  <c r="DM167" i="4"/>
  <c r="DM166" i="4"/>
  <c r="DM165" i="4"/>
  <c r="DM164" i="4"/>
  <c r="DM163" i="4"/>
  <c r="DM162" i="4"/>
  <c r="DM161" i="4"/>
  <c r="DM160" i="4"/>
  <c r="DM159" i="4"/>
  <c r="DM158" i="4"/>
  <c r="DM157" i="4"/>
  <c r="DM156" i="4"/>
  <c r="DM155" i="4"/>
  <c r="DM154" i="4"/>
  <c r="DM153" i="4"/>
  <c r="DM152" i="4"/>
  <c r="DM151" i="4"/>
  <c r="DM150" i="4"/>
  <c r="DM149" i="4"/>
  <c r="F191" i="4"/>
  <c r="DT190" i="4"/>
  <c r="CF190" i="4"/>
  <c r="AS190" i="4"/>
  <c r="F190" i="4"/>
  <c r="DT189" i="4"/>
  <c r="CF189" i="4"/>
  <c r="AS189" i="4"/>
  <c r="F189" i="4"/>
  <c r="F188" i="4"/>
  <c r="F187" i="4"/>
  <c r="F186" i="4"/>
  <c r="CF185" i="4"/>
  <c r="F185" i="4"/>
  <c r="F184" i="4"/>
  <c r="DT183" i="4"/>
  <c r="CF183" i="4"/>
  <c r="AS183" i="4"/>
  <c r="F183" i="4"/>
  <c r="DT182" i="4"/>
  <c r="CF182" i="4"/>
  <c r="AS182" i="4"/>
  <c r="F182" i="4"/>
  <c r="F181" i="4"/>
  <c r="F180" i="4"/>
  <c r="CF179" i="4"/>
  <c r="F179" i="4"/>
  <c r="CF178" i="4"/>
  <c r="F178" i="4"/>
  <c r="CF177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CF148" i="4"/>
  <c r="F148" i="4"/>
  <c r="CF147" i="4"/>
  <c r="F147" i="4"/>
  <c r="F146" i="4"/>
  <c r="DT145" i="4"/>
  <c r="CF145" i="4"/>
  <c r="AS145" i="4"/>
  <c r="F145" i="4"/>
  <c r="F144" i="4"/>
  <c r="F143" i="4"/>
  <c r="FA191" i="4"/>
  <c r="FA190" i="4"/>
  <c r="DM190" i="4"/>
  <c r="BZ190" i="4"/>
  <c r="AM190" i="4"/>
  <c r="FA189" i="4"/>
  <c r="DM189" i="4"/>
  <c r="BZ189" i="4"/>
  <c r="AM189" i="4"/>
  <c r="FA188" i="4"/>
  <c r="FA187" i="4"/>
  <c r="FA186" i="4"/>
  <c r="FA185" i="4"/>
  <c r="BZ185" i="4"/>
  <c r="FA184" i="4"/>
  <c r="FA183" i="4"/>
  <c r="DM183" i="4"/>
  <c r="BZ183" i="4"/>
  <c r="AM183" i="4"/>
  <c r="FA182" i="4"/>
  <c r="DM182" i="4"/>
  <c r="BZ182" i="4"/>
  <c r="AM182" i="4"/>
  <c r="FA181" i="4"/>
  <c r="FA180" i="4"/>
  <c r="FA179" i="4"/>
  <c r="BZ179" i="4"/>
  <c r="FA178" i="4"/>
  <c r="BZ178" i="4"/>
  <c r="FA177" i="4"/>
  <c r="BZ177" i="4"/>
  <c r="FA176" i="4"/>
  <c r="FA175" i="4"/>
  <c r="FA174" i="4"/>
  <c r="FA173" i="4"/>
  <c r="FA172" i="4"/>
  <c r="FA171" i="4"/>
  <c r="FA170" i="4"/>
  <c r="FA169" i="4"/>
  <c r="FA168" i="4"/>
  <c r="FA167" i="4"/>
  <c r="FA166" i="4"/>
  <c r="FA165" i="4"/>
  <c r="FA164" i="4"/>
  <c r="FA163" i="4"/>
  <c r="FA162" i="4"/>
  <c r="FA161" i="4"/>
  <c r="FA160" i="4"/>
  <c r="FA159" i="4"/>
  <c r="FA158" i="4"/>
  <c r="FA157" i="4"/>
  <c r="FA156" i="4"/>
  <c r="FA155" i="4"/>
  <c r="FA154" i="4"/>
  <c r="FA153" i="4"/>
  <c r="FA152" i="4"/>
  <c r="FA151" i="4"/>
  <c r="FA150" i="4"/>
  <c r="FA149" i="4"/>
  <c r="FA148" i="4"/>
  <c r="AS191" i="4"/>
  <c r="DT188" i="4"/>
  <c r="AS187" i="4"/>
  <c r="DT186" i="4"/>
  <c r="AS184" i="4"/>
  <c r="DT181" i="4"/>
  <c r="DT180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152" i="4"/>
  <c r="AS151" i="4"/>
  <c r="AS150" i="4"/>
  <c r="AS149" i="4"/>
  <c r="DT146" i="4"/>
  <c r="AS144" i="4"/>
  <c r="AS143" i="4"/>
  <c r="DM138" i="4"/>
  <c r="CF138" i="4"/>
  <c r="AM191" i="4"/>
  <c r="DM188" i="4"/>
  <c r="AM187" i="4"/>
  <c r="DM186" i="4"/>
  <c r="AM184" i="4"/>
  <c r="DM181" i="4"/>
  <c r="DM180" i="4"/>
  <c r="AM176" i="4"/>
  <c r="AM175" i="4"/>
  <c r="AM174" i="4"/>
  <c r="AM173" i="4"/>
  <c r="AM172" i="4"/>
  <c r="AM171" i="4"/>
  <c r="AM170" i="4"/>
  <c r="AM169" i="4"/>
  <c r="AM168" i="4"/>
  <c r="AM167" i="4"/>
  <c r="AM166" i="4"/>
  <c r="AM165" i="4"/>
  <c r="AM164" i="4"/>
  <c r="AM163" i="4"/>
  <c r="AM162" i="4"/>
  <c r="AM161" i="4"/>
  <c r="AM160" i="4"/>
  <c r="AM159" i="4"/>
  <c r="AM158" i="4"/>
  <c r="AM157" i="4"/>
  <c r="AM156" i="4"/>
  <c r="AM155" i="4"/>
  <c r="AM154" i="4"/>
  <c r="AM153" i="4"/>
  <c r="AM152" i="4"/>
  <c r="AM151" i="4"/>
  <c r="AM150" i="4"/>
  <c r="AM149" i="4"/>
  <c r="CF181" i="4"/>
  <c r="DT177" i="4"/>
  <c r="CF176" i="4"/>
  <c r="CF168" i="4"/>
  <c r="CF160" i="4"/>
  <c r="CF152" i="4"/>
  <c r="FA147" i="4"/>
  <c r="CF146" i="4"/>
  <c r="AM145" i="4"/>
  <c r="CF142" i="4"/>
  <c r="F142" i="4"/>
  <c r="CF141" i="4"/>
  <c r="F141" i="4"/>
  <c r="CF140" i="4"/>
  <c r="F140" i="4"/>
  <c r="CF139" i="4"/>
  <c r="F139" i="4"/>
  <c r="FA126" i="4"/>
  <c r="FA125" i="4"/>
  <c r="FA124" i="4"/>
  <c r="FA122" i="4"/>
  <c r="FA115" i="4"/>
  <c r="FA113" i="4"/>
  <c r="FA110" i="4"/>
  <c r="FA106" i="4"/>
  <c r="FA102" i="4"/>
  <c r="FA98" i="4"/>
  <c r="FA94" i="4"/>
  <c r="FA90" i="4"/>
  <c r="FA86" i="4"/>
  <c r="FA83" i="4"/>
  <c r="CF127" i="4"/>
  <c r="CF126" i="4"/>
  <c r="CF125" i="4"/>
  <c r="CF123" i="4"/>
  <c r="CF116" i="4"/>
  <c r="CF114" i="4"/>
  <c r="CF111" i="4"/>
  <c r="CF107" i="4"/>
  <c r="CF103" i="4"/>
  <c r="CF99" i="4"/>
  <c r="CF95" i="4"/>
  <c r="CF91" i="4"/>
  <c r="CF87" i="4"/>
  <c r="CF84" i="4"/>
  <c r="BZ120" i="4"/>
  <c r="CF187" i="4"/>
  <c r="AS178" i="4"/>
  <c r="CF173" i="4"/>
  <c r="CF165" i="4"/>
  <c r="CF157" i="4"/>
  <c r="CF149" i="4"/>
  <c r="DT147" i="4"/>
  <c r="AM147" i="4"/>
  <c r="FA145" i="4"/>
  <c r="DT120" i="4"/>
  <c r="DT119" i="4"/>
  <c r="DT118" i="4"/>
  <c r="DT115" i="4"/>
  <c r="DT113" i="4"/>
  <c r="DT109" i="4"/>
  <c r="DT105" i="4"/>
  <c r="DT101" i="4"/>
  <c r="DT97" i="4"/>
  <c r="DT93" i="4"/>
  <c r="DT89" i="4"/>
  <c r="DT85" i="4"/>
  <c r="DT83" i="4"/>
  <c r="DT80" i="4"/>
  <c r="DM127" i="4"/>
  <c r="DM123" i="4"/>
  <c r="DM121" i="4"/>
  <c r="DM111" i="4"/>
  <c r="DM107" i="4"/>
  <c r="DM103" i="4"/>
  <c r="DM99" i="4"/>
  <c r="DM95" i="4"/>
  <c r="DM91" i="4"/>
  <c r="DM87" i="4"/>
  <c r="DM78" i="4"/>
  <c r="DM76" i="4"/>
  <c r="DM74" i="4"/>
  <c r="CF74" i="4"/>
  <c r="AS124" i="4"/>
  <c r="AS122" i="4"/>
  <c r="AS112" i="4"/>
  <c r="AS108" i="4"/>
  <c r="AS104" i="4"/>
  <c r="AS100" i="4"/>
  <c r="AS96" i="4"/>
  <c r="AS92" i="4"/>
  <c r="AS88" i="4"/>
  <c r="AS79" i="4"/>
  <c r="AS77" i="4"/>
  <c r="CF186" i="4"/>
  <c r="AS185" i="4"/>
  <c r="DT179" i="4"/>
  <c r="CF172" i="4"/>
  <c r="CF164" i="4"/>
  <c r="CF156" i="4"/>
  <c r="AS148" i="4"/>
  <c r="DM147" i="4"/>
  <c r="DM144" i="4"/>
  <c r="FA143" i="4"/>
  <c r="AM143" i="4"/>
  <c r="DT142" i="4"/>
  <c r="AS142" i="4"/>
  <c r="DT141" i="4"/>
  <c r="AS141" i="4"/>
  <c r="DT140" i="4"/>
  <c r="AS140" i="4"/>
  <c r="DT139" i="4"/>
  <c r="AS139" i="4"/>
  <c r="FA119" i="4"/>
  <c r="FA118" i="4"/>
  <c r="FA117" i="4"/>
  <c r="FA114" i="4"/>
  <c r="FA112" i="4"/>
  <c r="FA108" i="4"/>
  <c r="FA104" i="4"/>
  <c r="FA100" i="4"/>
  <c r="FA96" i="4"/>
  <c r="FA92" i="4"/>
  <c r="FA88" i="4"/>
  <c r="FA84" i="4"/>
  <c r="FA82" i="4"/>
  <c r="FA79" i="4"/>
  <c r="CF120" i="4"/>
  <c r="CF119" i="4"/>
  <c r="CF118" i="4"/>
  <c r="CF115" i="4"/>
  <c r="CF113" i="4"/>
  <c r="CF109" i="4"/>
  <c r="CF105" i="4"/>
  <c r="CF101" i="4"/>
  <c r="CF97" i="4"/>
  <c r="CF93" i="4"/>
  <c r="CF89" i="4"/>
  <c r="CF85" i="4"/>
  <c r="CF83" i="4"/>
  <c r="CF80" i="4"/>
  <c r="BZ127" i="4"/>
  <c r="BZ123" i="4"/>
  <c r="BZ121" i="4"/>
  <c r="F75" i="4"/>
  <c r="F77" i="4"/>
  <c r="F79" i="4"/>
  <c r="F88" i="4"/>
  <c r="F92" i="4"/>
  <c r="F96" i="4"/>
  <c r="F100" i="4"/>
  <c r="F104" i="4"/>
  <c r="F108" i="4"/>
  <c r="F112" i="4"/>
  <c r="F122" i="4"/>
  <c r="F124" i="4"/>
  <c r="AS74" i="4"/>
  <c r="BZ74" i="4"/>
  <c r="BZ76" i="4"/>
  <c r="BZ83" i="4"/>
  <c r="BZ86" i="4"/>
  <c r="AS91" i="4"/>
  <c r="BZ93" i="4"/>
  <c r="AS98" i="4"/>
  <c r="BZ100" i="4"/>
  <c r="AS105" i="4"/>
  <c r="BZ111" i="4"/>
  <c r="DM83" i="4"/>
  <c r="DM85" i="4"/>
  <c r="DM88" i="4"/>
  <c r="CF92" i="4"/>
  <c r="DM94" i="4"/>
  <c r="CF98" i="4"/>
  <c r="DM116" i="4"/>
  <c r="DM119" i="4"/>
  <c r="DM124" i="4"/>
  <c r="FA75" i="4"/>
  <c r="FA77" i="4"/>
  <c r="FA97" i="4"/>
  <c r="FA103" i="4"/>
  <c r="DT107" i="4"/>
  <c r="DT110" i="4"/>
  <c r="FA116" i="4"/>
  <c r="DT123" i="4"/>
  <c r="F138" i="4"/>
  <c r="AM138" i="4"/>
  <c r="AM140" i="4"/>
  <c r="AM142" i="4"/>
  <c r="DM143" i="4"/>
  <c r="FA144" i="4"/>
  <c r="CF155" i="4"/>
  <c r="CF169" i="4"/>
  <c r="CF180" i="4"/>
  <c r="DT185" i="4"/>
  <c r="BZ89" i="4"/>
  <c r="AS94" i="4"/>
  <c r="BZ96" i="4"/>
  <c r="AS101" i="4"/>
  <c r="BZ107" i="4"/>
  <c r="BZ113" i="4"/>
  <c r="BZ115" i="4"/>
  <c r="CF79" i="4"/>
  <c r="CF86" i="4"/>
  <c r="DM105" i="4"/>
  <c r="DM108" i="4"/>
  <c r="CF112" i="4"/>
  <c r="DM113" i="4"/>
  <c r="CF117" i="4"/>
  <c r="DM118" i="4"/>
  <c r="CF122" i="4"/>
  <c r="DT76" i="4"/>
  <c r="DT78" i="4"/>
  <c r="FA85" i="4"/>
  <c r="FA91" i="4"/>
  <c r="DT95" i="4"/>
  <c r="DT98" i="4"/>
  <c r="DT104" i="4"/>
  <c r="DT117" i="4"/>
  <c r="AS138" i="4"/>
  <c r="BZ138" i="4"/>
  <c r="DT138" i="4"/>
  <c r="FA138" i="4"/>
  <c r="FA140" i="4"/>
  <c r="FA142" i="4"/>
  <c r="AM144" i="4"/>
  <c r="AS147" i="4"/>
  <c r="DT148" i="4"/>
  <c r="CF158" i="4"/>
  <c r="CF170" i="4"/>
  <c r="AS179" i="4"/>
  <c r="CF184" i="4"/>
  <c r="B5" i="4"/>
  <c r="I10" i="4"/>
  <c r="Y19" i="5" l="1"/>
  <c r="F75" i="5"/>
  <c r="Y20" i="5" s="1"/>
  <c r="I5" i="5"/>
  <c r="AA17" i="5"/>
  <c r="G58" i="5"/>
  <c r="H41" i="5"/>
  <c r="H42" i="5"/>
  <c r="H76" i="5" s="1"/>
  <c r="T11" i="5"/>
  <c r="T48" i="5"/>
  <c r="T65" i="5"/>
  <c r="T82" i="5" s="1"/>
  <c r="S65" i="5"/>
  <c r="S82" i="5" s="1"/>
  <c r="Z11" i="5"/>
  <c r="AA10" i="5"/>
  <c r="AI128" i="4"/>
  <c r="AA120" i="4"/>
  <c r="W85" i="4"/>
  <c r="W93" i="4"/>
  <c r="W101" i="4"/>
  <c r="W109" i="4"/>
  <c r="AA79" i="4"/>
  <c r="I127" i="4"/>
  <c r="DW127" i="4" s="1"/>
  <c r="DX127" i="4" s="1"/>
  <c r="DY127" i="4" s="1"/>
  <c r="DZ127" i="4" s="1"/>
  <c r="EA127" i="4" s="1"/>
  <c r="EB127" i="4" s="1"/>
  <c r="EC127" i="4" s="1"/>
  <c r="ED127" i="4" s="1"/>
  <c r="EE127" i="4" s="1"/>
  <c r="EF127" i="4" s="1"/>
  <c r="EG127" i="4" s="1"/>
  <c r="EH127" i="4" s="1"/>
  <c r="EI127" i="4" s="1"/>
  <c r="EJ127" i="4" s="1"/>
  <c r="EK127" i="4" s="1"/>
  <c r="EL127" i="4" s="1"/>
  <c r="EM127" i="4" s="1"/>
  <c r="EN127" i="4" s="1"/>
  <c r="EO127" i="4" s="1"/>
  <c r="EP127" i="4" s="1"/>
  <c r="EQ127" i="4" s="1"/>
  <c r="ER127" i="4" s="1"/>
  <c r="ES127" i="4" s="1"/>
  <c r="ET127" i="4" s="1"/>
  <c r="EU127" i="4" s="1"/>
  <c r="EV127" i="4" s="1"/>
  <c r="EW127" i="4" s="1"/>
  <c r="R118" i="4"/>
  <c r="EF118" i="4" s="1"/>
  <c r="EG118" i="4" s="1"/>
  <c r="EH118" i="4" s="1"/>
  <c r="EI118" i="4" s="1"/>
  <c r="EJ118" i="4" s="1"/>
  <c r="EK118" i="4" s="1"/>
  <c r="EL118" i="4" s="1"/>
  <c r="EM118" i="4" s="1"/>
  <c r="EN118" i="4" s="1"/>
  <c r="U87" i="4"/>
  <c r="U95" i="4"/>
  <c r="U103" i="4"/>
  <c r="U111" i="4"/>
  <c r="P76" i="4"/>
  <c r="AI127" i="4"/>
  <c r="Z119" i="4"/>
  <c r="W86" i="4"/>
  <c r="W94" i="4"/>
  <c r="W102" i="4"/>
  <c r="W110" i="4"/>
  <c r="AA80" i="4"/>
  <c r="J126" i="4"/>
  <c r="S117" i="4"/>
  <c r="U88" i="4"/>
  <c r="U96" i="4"/>
  <c r="U104" i="4"/>
  <c r="U112" i="4"/>
  <c r="P77" i="4"/>
  <c r="AH126" i="4"/>
  <c r="Z118" i="4"/>
  <c r="W87" i="4"/>
  <c r="W95" i="4"/>
  <c r="W103" i="4"/>
  <c r="W111" i="4"/>
  <c r="AB76" i="4"/>
  <c r="J125" i="4"/>
  <c r="DX125" i="4" s="1"/>
  <c r="DY125" i="4" s="1"/>
  <c r="DZ125" i="4" s="1"/>
  <c r="EA125" i="4" s="1"/>
  <c r="EB125" i="4" s="1"/>
  <c r="EC125" i="4" s="1"/>
  <c r="ED125" i="4" s="1"/>
  <c r="EE125" i="4" s="1"/>
  <c r="EF125" i="4" s="1"/>
  <c r="EG125" i="4" s="1"/>
  <c r="EH125" i="4" s="1"/>
  <c r="EI125" i="4" s="1"/>
  <c r="EJ125" i="4" s="1"/>
  <c r="EK125" i="4" s="1"/>
  <c r="EL125" i="4" s="1"/>
  <c r="EM125" i="4" s="1"/>
  <c r="EN125" i="4" s="1"/>
  <c r="EO125" i="4" s="1"/>
  <c r="EP125" i="4" s="1"/>
  <c r="EQ125" i="4" s="1"/>
  <c r="ER125" i="4" s="1"/>
  <c r="ES125" i="4" s="1"/>
  <c r="ET125" i="4" s="1"/>
  <c r="EU125" i="4" s="1"/>
  <c r="EV125" i="4" s="1"/>
  <c r="S116" i="4"/>
  <c r="EG116" i="4" s="1"/>
  <c r="EH116" i="4" s="1"/>
  <c r="EI116" i="4" s="1"/>
  <c r="EJ116" i="4" s="1"/>
  <c r="EK116" i="4" s="1"/>
  <c r="EL116" i="4" s="1"/>
  <c r="EM116" i="4" s="1"/>
  <c r="U89" i="4"/>
  <c r="U97" i="4"/>
  <c r="U105" i="4"/>
  <c r="T83" i="4"/>
  <c r="P78" i="4"/>
  <c r="ED78" i="4" s="1"/>
  <c r="EE78" i="4" s="1"/>
  <c r="EF78" i="4" s="1"/>
  <c r="EG78" i="4" s="1"/>
  <c r="EH78" i="4" s="1"/>
  <c r="EI78" i="4" s="1"/>
  <c r="EJ78" i="4" s="1"/>
  <c r="EK78" i="4" s="1"/>
  <c r="EL78" i="4" s="1"/>
  <c r="EM78" i="4" s="1"/>
  <c r="EN78" i="4" s="1"/>
  <c r="EO78" i="4" s="1"/>
  <c r="EP78" i="4" s="1"/>
  <c r="AH125" i="4"/>
  <c r="Y117" i="4"/>
  <c r="W88" i="4"/>
  <c r="W96" i="4"/>
  <c r="W104" i="4"/>
  <c r="W112" i="4"/>
  <c r="AB77" i="4"/>
  <c r="K124" i="4"/>
  <c r="DY124" i="4" s="1"/>
  <c r="DZ124" i="4" s="1"/>
  <c r="EA124" i="4" s="1"/>
  <c r="EB124" i="4" s="1"/>
  <c r="EC124" i="4" s="1"/>
  <c r="ED124" i="4" s="1"/>
  <c r="EE124" i="4" s="1"/>
  <c r="EF124" i="4" s="1"/>
  <c r="EG124" i="4" s="1"/>
  <c r="EH124" i="4" s="1"/>
  <c r="EI124" i="4" s="1"/>
  <c r="EJ124" i="4" s="1"/>
  <c r="EK124" i="4" s="1"/>
  <c r="EL124" i="4" s="1"/>
  <c r="EM124" i="4" s="1"/>
  <c r="EN124" i="4" s="1"/>
  <c r="EO124" i="4" s="1"/>
  <c r="EP124" i="4" s="1"/>
  <c r="EQ124" i="4" s="1"/>
  <c r="ER124" i="4" s="1"/>
  <c r="ES124" i="4" s="1"/>
  <c r="ET124" i="4" s="1"/>
  <c r="EU124" i="4" s="1"/>
  <c r="T115" i="4"/>
  <c r="U90" i="4"/>
  <c r="U98" i="4"/>
  <c r="U106" i="4"/>
  <c r="T84" i="4"/>
  <c r="EH84" i="4" s="1"/>
  <c r="EI84" i="4" s="1"/>
  <c r="EJ84" i="4" s="1"/>
  <c r="EK84" i="4" s="1"/>
  <c r="EL84" i="4" s="1"/>
  <c r="P75" i="4"/>
  <c r="AG124" i="4"/>
  <c r="Y116" i="4"/>
  <c r="W89" i="4"/>
  <c r="W97" i="4"/>
  <c r="W105" i="4"/>
  <c r="X83" i="4"/>
  <c r="AB78" i="4"/>
  <c r="M123" i="4"/>
  <c r="EA123" i="4" s="1"/>
  <c r="EB123" i="4" s="1"/>
  <c r="EC123" i="4" s="1"/>
  <c r="ED123" i="4" s="1"/>
  <c r="EE123" i="4" s="1"/>
  <c r="EF123" i="4" s="1"/>
  <c r="EG123" i="4" s="1"/>
  <c r="EH123" i="4" s="1"/>
  <c r="EI123" i="4" s="1"/>
  <c r="EJ123" i="4" s="1"/>
  <c r="EK123" i="4" s="1"/>
  <c r="EL123" i="4" s="1"/>
  <c r="EM123" i="4" s="1"/>
  <c r="EN123" i="4" s="1"/>
  <c r="EO123" i="4" s="1"/>
  <c r="EP123" i="4" s="1"/>
  <c r="EQ123" i="4" s="1"/>
  <c r="ER123" i="4" s="1"/>
  <c r="ES123" i="4" s="1"/>
  <c r="T114" i="4"/>
  <c r="U91" i="4"/>
  <c r="U99" i="4"/>
  <c r="U107" i="4"/>
  <c r="S82" i="4"/>
  <c r="EG82" i="4" s="1"/>
  <c r="EH82" i="4" s="1"/>
  <c r="EI82" i="4" s="1"/>
  <c r="EJ82" i="4" s="1"/>
  <c r="EK82" i="4" s="1"/>
  <c r="EL82" i="4" s="1"/>
  <c r="EM82" i="4" s="1"/>
  <c r="AE123" i="4"/>
  <c r="X114" i="4"/>
  <c r="W90" i="4"/>
  <c r="W98" i="4"/>
  <c r="W106" i="4"/>
  <c r="X84" i="4"/>
  <c r="AB75" i="4"/>
  <c r="O122" i="4"/>
  <c r="EC122" i="4" s="1"/>
  <c r="ED122" i="4" s="1"/>
  <c r="EE122" i="4" s="1"/>
  <c r="EF122" i="4" s="1"/>
  <c r="EG122" i="4" s="1"/>
  <c r="EH122" i="4" s="1"/>
  <c r="EI122" i="4" s="1"/>
  <c r="EJ122" i="4" s="1"/>
  <c r="EK122" i="4" s="1"/>
  <c r="EL122" i="4" s="1"/>
  <c r="EM122" i="4" s="1"/>
  <c r="EN122" i="4" s="1"/>
  <c r="EO122" i="4" s="1"/>
  <c r="EP122" i="4" s="1"/>
  <c r="EQ122" i="4" s="1"/>
  <c r="T113" i="4"/>
  <c r="EH113" i="4" s="1"/>
  <c r="EI113" i="4" s="1"/>
  <c r="EJ113" i="4" s="1"/>
  <c r="EK113" i="4" s="1"/>
  <c r="EL113" i="4" s="1"/>
  <c r="U92" i="4"/>
  <c r="U100" i="4"/>
  <c r="U108" i="4"/>
  <c r="R81" i="4"/>
  <c r="EF81" i="4" s="1"/>
  <c r="EG81" i="4" s="1"/>
  <c r="EH81" i="4" s="1"/>
  <c r="EI81" i="4" s="1"/>
  <c r="EJ81" i="4" s="1"/>
  <c r="EK81" i="4" s="1"/>
  <c r="EL81" i="4" s="1"/>
  <c r="EM81" i="4" s="1"/>
  <c r="EN81" i="4" s="1"/>
  <c r="AB121" i="4"/>
  <c r="X113" i="4"/>
  <c r="W92" i="4"/>
  <c r="W108" i="4"/>
  <c r="Z81" i="4"/>
  <c r="I128" i="4"/>
  <c r="U86" i="4"/>
  <c r="U102" i="4"/>
  <c r="Q80" i="4"/>
  <c r="EE80" i="4" s="1"/>
  <c r="EF80" i="4" s="1"/>
  <c r="EG80" i="4" s="1"/>
  <c r="EH80" i="4" s="1"/>
  <c r="EI80" i="4" s="1"/>
  <c r="EJ80" i="4" s="1"/>
  <c r="EK80" i="4" s="1"/>
  <c r="EL80" i="4" s="1"/>
  <c r="EM80" i="4" s="1"/>
  <c r="EN80" i="4" s="1"/>
  <c r="EO80" i="4" s="1"/>
  <c r="AC122" i="4"/>
  <c r="X115" i="4"/>
  <c r="W91" i="4"/>
  <c r="W99" i="4"/>
  <c r="W107" i="4"/>
  <c r="Y82" i="4"/>
  <c r="P121" i="4"/>
  <c r="ED121" i="4" s="1"/>
  <c r="EE121" i="4" s="1"/>
  <c r="EF121" i="4" s="1"/>
  <c r="EG121" i="4" s="1"/>
  <c r="EH121" i="4" s="1"/>
  <c r="EI121" i="4" s="1"/>
  <c r="EJ121" i="4" s="1"/>
  <c r="EK121" i="4" s="1"/>
  <c r="EL121" i="4" s="1"/>
  <c r="EM121" i="4" s="1"/>
  <c r="EN121" i="4" s="1"/>
  <c r="EO121" i="4" s="1"/>
  <c r="EP121" i="4" s="1"/>
  <c r="U85" i="4"/>
  <c r="U93" i="4"/>
  <c r="U101" i="4"/>
  <c r="U109" i="4"/>
  <c r="Q79" i="4"/>
  <c r="W100" i="4"/>
  <c r="Q120" i="4"/>
  <c r="EE120" i="4" s="1"/>
  <c r="EF120" i="4" s="1"/>
  <c r="EG120" i="4" s="1"/>
  <c r="EH120" i="4" s="1"/>
  <c r="EI120" i="4" s="1"/>
  <c r="EJ120" i="4" s="1"/>
  <c r="EK120" i="4" s="1"/>
  <c r="EL120" i="4" s="1"/>
  <c r="EM120" i="4" s="1"/>
  <c r="EN120" i="4" s="1"/>
  <c r="EO120" i="4" s="1"/>
  <c r="U94" i="4"/>
  <c r="U110" i="4"/>
  <c r="Z66" i="4"/>
  <c r="R119" i="4"/>
  <c r="AF66" i="4"/>
  <c r="EU193" i="4"/>
  <c r="EM193" i="4"/>
  <c r="EE193" i="4"/>
  <c r="DW193" i="4"/>
  <c r="DE193" i="4"/>
  <c r="CW193" i="4"/>
  <c r="CO193" i="4"/>
  <c r="BX193" i="4"/>
  <c r="BP193" i="4"/>
  <c r="BH193" i="4"/>
  <c r="AZ193" i="4"/>
  <c r="AI193" i="4"/>
  <c r="AA193" i="4"/>
  <c r="S193" i="4"/>
  <c r="K193" i="4"/>
  <c r="ET193" i="4"/>
  <c r="EL193" i="4"/>
  <c r="ED193" i="4"/>
  <c r="DV193" i="4"/>
  <c r="DD193" i="4"/>
  <c r="CV193" i="4"/>
  <c r="CN193" i="4"/>
  <c r="BW193" i="4"/>
  <c r="BO193" i="4"/>
  <c r="BG193" i="4"/>
  <c r="AY193" i="4"/>
  <c r="AH193" i="4"/>
  <c r="Z193" i="4"/>
  <c r="R193" i="4"/>
  <c r="J193" i="4"/>
  <c r="ES193" i="4"/>
  <c r="EK193" i="4"/>
  <c r="EC193" i="4"/>
  <c r="DK193" i="4"/>
  <c r="DC193" i="4"/>
  <c r="CU193" i="4"/>
  <c r="CM193" i="4"/>
  <c r="BV193" i="4"/>
  <c r="BN193" i="4"/>
  <c r="BF193" i="4"/>
  <c r="AX193" i="4"/>
  <c r="AG193" i="4"/>
  <c r="Y193" i="4"/>
  <c r="Q193" i="4"/>
  <c r="I193" i="4"/>
  <c r="ER193" i="4"/>
  <c r="EJ193" i="4"/>
  <c r="EB193" i="4"/>
  <c r="DJ193" i="4"/>
  <c r="DB193" i="4"/>
  <c r="CT193" i="4"/>
  <c r="CL193" i="4"/>
  <c r="BU193" i="4"/>
  <c r="BM193" i="4"/>
  <c r="BE193" i="4"/>
  <c r="AW193" i="4"/>
  <c r="AF193" i="4"/>
  <c r="X193" i="4"/>
  <c r="P193" i="4"/>
  <c r="H193" i="4"/>
  <c r="EY193" i="4"/>
  <c r="EQ193" i="4"/>
  <c r="EI193" i="4"/>
  <c r="EA193" i="4"/>
  <c r="DI193" i="4"/>
  <c r="DA193" i="4"/>
  <c r="CS193" i="4"/>
  <c r="CK193" i="4"/>
  <c r="BT193" i="4"/>
  <c r="BL193" i="4"/>
  <c r="BD193" i="4"/>
  <c r="AV193" i="4"/>
  <c r="AE193" i="4"/>
  <c r="W193" i="4"/>
  <c r="O193" i="4"/>
  <c r="EX193" i="4"/>
  <c r="EP193" i="4"/>
  <c r="EH193" i="4"/>
  <c r="DZ193" i="4"/>
  <c r="DH193" i="4"/>
  <c r="CZ193" i="4"/>
  <c r="CR193" i="4"/>
  <c r="CJ193" i="4"/>
  <c r="BS193" i="4"/>
  <c r="BK193" i="4"/>
  <c r="BC193" i="4"/>
  <c r="AU193" i="4"/>
  <c r="AD193" i="4"/>
  <c r="V193" i="4"/>
  <c r="N193" i="4"/>
  <c r="ET137" i="4"/>
  <c r="EL137" i="4"/>
  <c r="ED137" i="4"/>
  <c r="DV137" i="4"/>
  <c r="DD137" i="4"/>
  <c r="CV137" i="4"/>
  <c r="CN137" i="4"/>
  <c r="BW137" i="4"/>
  <c r="BO137" i="4"/>
  <c r="BG137" i="4"/>
  <c r="AY137" i="4"/>
  <c r="AH137" i="4"/>
  <c r="Z137" i="4"/>
  <c r="R137" i="4"/>
  <c r="J137" i="4"/>
  <c r="ET129" i="4"/>
  <c r="EL129" i="4"/>
  <c r="ED129" i="4"/>
  <c r="DV129" i="4"/>
  <c r="EW193" i="4"/>
  <c r="EO193" i="4"/>
  <c r="EG193" i="4"/>
  <c r="DY193" i="4"/>
  <c r="DG193" i="4"/>
  <c r="CY193" i="4"/>
  <c r="CQ193" i="4"/>
  <c r="CI193" i="4"/>
  <c r="BR193" i="4"/>
  <c r="BJ193" i="4"/>
  <c r="BB193" i="4"/>
  <c r="AK193" i="4"/>
  <c r="AC193" i="4"/>
  <c r="U193" i="4"/>
  <c r="M193" i="4"/>
  <c r="CP193" i="4"/>
  <c r="L193" i="4"/>
  <c r="ES137" i="4"/>
  <c r="EJ137" i="4"/>
  <c r="EA137" i="4"/>
  <c r="DH137" i="4"/>
  <c r="CY137" i="4"/>
  <c r="CP137" i="4"/>
  <c r="BX137" i="4"/>
  <c r="BN137" i="4"/>
  <c r="BE137" i="4"/>
  <c r="AV137" i="4"/>
  <c r="AD137" i="4"/>
  <c r="U137" i="4"/>
  <c r="L137" i="4"/>
  <c r="EU129" i="4"/>
  <c r="EK129" i="4"/>
  <c r="EB129" i="4"/>
  <c r="ET73" i="4"/>
  <c r="EL73" i="4"/>
  <c r="ED73" i="4"/>
  <c r="DV73" i="4"/>
  <c r="DD129" i="4"/>
  <c r="CV129" i="4"/>
  <c r="CN129" i="4"/>
  <c r="DG73" i="4"/>
  <c r="CY73" i="4"/>
  <c r="CQ73" i="4"/>
  <c r="CI73" i="4"/>
  <c r="BR129" i="4"/>
  <c r="BJ129" i="4"/>
  <c r="BB129" i="4"/>
  <c r="EN193" i="4"/>
  <c r="BI193" i="4"/>
  <c r="EY137" i="4"/>
  <c r="EP137" i="4"/>
  <c r="EG137" i="4"/>
  <c r="DX137" i="4"/>
  <c r="DE137" i="4"/>
  <c r="CU137" i="4"/>
  <c r="CL137" i="4"/>
  <c r="BT137" i="4"/>
  <c r="BK137" i="4"/>
  <c r="BB137" i="4"/>
  <c r="AJ137" i="4"/>
  <c r="AA137" i="4"/>
  <c r="Q137" i="4"/>
  <c r="H137" i="4"/>
  <c r="EQ129" i="4"/>
  <c r="EH129" i="4"/>
  <c r="DY129" i="4"/>
  <c r="EY73" i="4"/>
  <c r="EQ73" i="4"/>
  <c r="EI73" i="4"/>
  <c r="EA73" i="4"/>
  <c r="DI129" i="4"/>
  <c r="DA129" i="4"/>
  <c r="CS129" i="4"/>
  <c r="CK129" i="4"/>
  <c r="DD73" i="4"/>
  <c r="CV73" i="4"/>
  <c r="CN73" i="4"/>
  <c r="BW129" i="4"/>
  <c r="BO129" i="4"/>
  <c r="BG129" i="4"/>
  <c r="AY129" i="4"/>
  <c r="EF193" i="4"/>
  <c r="BA193" i="4"/>
  <c r="EX137" i="4"/>
  <c r="EO137" i="4"/>
  <c r="EF137" i="4"/>
  <c r="DW137" i="4"/>
  <c r="DC137" i="4"/>
  <c r="CT137" i="4"/>
  <c r="CK137" i="4"/>
  <c r="BS137" i="4"/>
  <c r="BJ137" i="4"/>
  <c r="BA137" i="4"/>
  <c r="AI137" i="4"/>
  <c r="Y137" i="4"/>
  <c r="P137" i="4"/>
  <c r="EY129" i="4"/>
  <c r="EP129" i="4"/>
  <c r="EG129" i="4"/>
  <c r="DX129" i="4"/>
  <c r="EX73" i="4"/>
  <c r="EP73" i="4"/>
  <c r="EH73" i="4"/>
  <c r="DZ73" i="4"/>
  <c r="DH129" i="4"/>
  <c r="CZ129" i="4"/>
  <c r="CR129" i="4"/>
  <c r="CJ129" i="4"/>
  <c r="DK73" i="4"/>
  <c r="DC73" i="4"/>
  <c r="CU73" i="4"/>
  <c r="CM73" i="4"/>
  <c r="BV129" i="4"/>
  <c r="BN129" i="4"/>
  <c r="BF129" i="4"/>
  <c r="AX129" i="4"/>
  <c r="CH193" i="4"/>
  <c r="EM137" i="4"/>
  <c r="DY137" i="4"/>
  <c r="CZ137" i="4"/>
  <c r="CJ137" i="4"/>
  <c r="BM137" i="4"/>
  <c r="AX137" i="4"/>
  <c r="AB137" i="4"/>
  <c r="M137" i="4"/>
  <c r="EO129" i="4"/>
  <c r="EA129" i="4"/>
  <c r="EU73" i="4"/>
  <c r="EG73" i="4"/>
  <c r="DK129" i="4"/>
  <c r="CX129" i="4"/>
  <c r="CL129" i="4"/>
  <c r="DH73" i="4"/>
  <c r="CT73" i="4"/>
  <c r="CH73" i="4"/>
  <c r="BL129" i="4"/>
  <c r="AZ129" i="4"/>
  <c r="BR73" i="4"/>
  <c r="BJ73" i="4"/>
  <c r="BB73" i="4"/>
  <c r="AK129" i="4"/>
  <c r="AC129" i="4"/>
  <c r="U129" i="4"/>
  <c r="M129" i="4"/>
  <c r="BQ193" i="4"/>
  <c r="EK137" i="4"/>
  <c r="DK137" i="4"/>
  <c r="CX137" i="4"/>
  <c r="CI137" i="4"/>
  <c r="BL137" i="4"/>
  <c r="AW137" i="4"/>
  <c r="X137" i="4"/>
  <c r="K137" i="4"/>
  <c r="EN129" i="4"/>
  <c r="DZ129" i="4"/>
  <c r="ES73" i="4"/>
  <c r="EF73" i="4"/>
  <c r="DJ129" i="4"/>
  <c r="CW129" i="4"/>
  <c r="CI129" i="4"/>
  <c r="DF73" i="4"/>
  <c r="CS73" i="4"/>
  <c r="BX129" i="4"/>
  <c r="BK129" i="4"/>
  <c r="AW129" i="4"/>
  <c r="BQ73" i="4"/>
  <c r="BI73" i="4"/>
  <c r="BA73" i="4"/>
  <c r="AJ129" i="4"/>
  <c r="AB129" i="4"/>
  <c r="T129" i="4"/>
  <c r="L129" i="4"/>
  <c r="AE73" i="4"/>
  <c r="W73" i="4"/>
  <c r="O73" i="4"/>
  <c r="AJ193" i="4"/>
  <c r="EW137" i="4"/>
  <c r="EI137" i="4"/>
  <c r="DJ137" i="4"/>
  <c r="CW137" i="4"/>
  <c r="CH137" i="4"/>
  <c r="BI137" i="4"/>
  <c r="AU137" i="4"/>
  <c r="W137" i="4"/>
  <c r="I137" i="4"/>
  <c r="EM129" i="4"/>
  <c r="DW129" i="4"/>
  <c r="ER73" i="4"/>
  <c r="EE73" i="4"/>
  <c r="DG129" i="4"/>
  <c r="CU129" i="4"/>
  <c r="CH129" i="4"/>
  <c r="DE73" i="4"/>
  <c r="CR73" i="4"/>
  <c r="BU129" i="4"/>
  <c r="BI129" i="4"/>
  <c r="AV129" i="4"/>
  <c r="BX73" i="4"/>
  <c r="BP73" i="4"/>
  <c r="BH73" i="4"/>
  <c r="AZ73" i="4"/>
  <c r="AI129" i="4"/>
  <c r="AA129" i="4"/>
  <c r="S129" i="4"/>
  <c r="K129" i="4"/>
  <c r="AB193" i="4"/>
  <c r="EV137" i="4"/>
  <c r="EH137" i="4"/>
  <c r="DI137" i="4"/>
  <c r="CS137" i="4"/>
  <c r="BV137" i="4"/>
  <c r="BH137" i="4"/>
  <c r="AK137" i="4"/>
  <c r="V137" i="4"/>
  <c r="EX129" i="4"/>
  <c r="EJ129" i="4"/>
  <c r="EO73" i="4"/>
  <c r="EC73" i="4"/>
  <c r="DF129" i="4"/>
  <c r="CT129" i="4"/>
  <c r="DB73" i="4"/>
  <c r="CP73" i="4"/>
  <c r="BT129" i="4"/>
  <c r="BH129" i="4"/>
  <c r="AU129" i="4"/>
  <c r="BW73" i="4"/>
  <c r="BO73" i="4"/>
  <c r="BG73" i="4"/>
  <c r="AY73" i="4"/>
  <c r="AH129" i="4"/>
  <c r="Z129" i="4"/>
  <c r="R129" i="4"/>
  <c r="J129" i="4"/>
  <c r="AK73" i="4"/>
  <c r="AC73" i="4"/>
  <c r="U73" i="4"/>
  <c r="M73" i="4"/>
  <c r="EV193" i="4"/>
  <c r="T193" i="4"/>
  <c r="EU137" i="4"/>
  <c r="EE137" i="4"/>
  <c r="DG137" i="4"/>
  <c r="CR137" i="4"/>
  <c r="BU137" i="4"/>
  <c r="BF137" i="4"/>
  <c r="AG137" i="4"/>
  <c r="T137" i="4"/>
  <c r="EW129" i="4"/>
  <c r="EI129" i="4"/>
  <c r="EN73" i="4"/>
  <c r="EB73" i="4"/>
  <c r="DE129" i="4"/>
  <c r="CQ129" i="4"/>
  <c r="DA73" i="4"/>
  <c r="CO73" i="4"/>
  <c r="BS129" i="4"/>
  <c r="BE129" i="4"/>
  <c r="BV73" i="4"/>
  <c r="BN73" i="4"/>
  <c r="BF73" i="4"/>
  <c r="AX73" i="4"/>
  <c r="AG129" i="4"/>
  <c r="Y129" i="4"/>
  <c r="Q129" i="4"/>
  <c r="I129" i="4"/>
  <c r="DX193" i="4"/>
  <c r="ER137" i="4"/>
  <c r="EC137" i="4"/>
  <c r="DF137" i="4"/>
  <c r="CQ137" i="4"/>
  <c r="BR137" i="4"/>
  <c r="BD137" i="4"/>
  <c r="AF137" i="4"/>
  <c r="S137" i="4"/>
  <c r="EV129" i="4"/>
  <c r="EF129" i="4"/>
  <c r="EM73" i="4"/>
  <c r="DY73" i="4"/>
  <c r="DC129" i="4"/>
  <c r="CP129" i="4"/>
  <c r="CZ73" i="4"/>
  <c r="CL73" i="4"/>
  <c r="BQ129" i="4"/>
  <c r="BD129" i="4"/>
  <c r="BU73" i="4"/>
  <c r="BM73" i="4"/>
  <c r="BE73" i="4"/>
  <c r="AW73" i="4"/>
  <c r="AF129" i="4"/>
  <c r="X129" i="4"/>
  <c r="P129" i="4"/>
  <c r="H129" i="4"/>
  <c r="AI73" i="4"/>
  <c r="AA73" i="4"/>
  <c r="S73" i="4"/>
  <c r="K73" i="4"/>
  <c r="AH73" i="4"/>
  <c r="Z73" i="4"/>
  <c r="DF193" i="4"/>
  <c r="EQ137" i="4"/>
  <c r="EB137" i="4"/>
  <c r="DB137" i="4"/>
  <c r="CO137" i="4"/>
  <c r="BQ137" i="4"/>
  <c r="BC137" i="4"/>
  <c r="AE137" i="4"/>
  <c r="O137" i="4"/>
  <c r="ES129" i="4"/>
  <c r="EE129" i="4"/>
  <c r="EW73" i="4"/>
  <c r="EK73" i="4"/>
  <c r="DX73" i="4"/>
  <c r="DB129" i="4"/>
  <c r="CO129" i="4"/>
  <c r="DJ73" i="4"/>
  <c r="CX73" i="4"/>
  <c r="CK73" i="4"/>
  <c r="BP129" i="4"/>
  <c r="BC129" i="4"/>
  <c r="BT73" i="4"/>
  <c r="BL73" i="4"/>
  <c r="BD73" i="4"/>
  <c r="AV73" i="4"/>
  <c r="AE129" i="4"/>
  <c r="W129" i="4"/>
  <c r="O129" i="4"/>
  <c r="DA137" i="4"/>
  <c r="CW73" i="4"/>
  <c r="BC73" i="4"/>
  <c r="AG73" i="4"/>
  <c r="R73" i="4"/>
  <c r="CM137" i="4"/>
  <c r="EV73" i="4"/>
  <c r="CJ73" i="4"/>
  <c r="AU73" i="4"/>
  <c r="AF73" i="4"/>
  <c r="Q73" i="4"/>
  <c r="AK10" i="4"/>
  <c r="BP137" i="4"/>
  <c r="EJ73" i="4"/>
  <c r="BM129" i="4"/>
  <c r="AD129" i="4"/>
  <c r="AD73" i="4"/>
  <c r="P73" i="4"/>
  <c r="AZ137" i="4"/>
  <c r="DW73" i="4"/>
  <c r="BA129" i="4"/>
  <c r="V129" i="4"/>
  <c r="AB73" i="4"/>
  <c r="N73" i="4"/>
  <c r="L73" i="4"/>
  <c r="CX193" i="4"/>
  <c r="AC137" i="4"/>
  <c r="CY129" i="4"/>
  <c r="N129" i="4"/>
  <c r="Y73" i="4"/>
  <c r="N137" i="4"/>
  <c r="CM129" i="4"/>
  <c r="X73" i="4"/>
  <c r="J73" i="4"/>
  <c r="BS73" i="4"/>
  <c r="I73" i="4"/>
  <c r="DZ137" i="4"/>
  <c r="EC129" i="4"/>
  <c r="DI73" i="4"/>
  <c r="BK73" i="4"/>
  <c r="AJ73" i="4"/>
  <c r="T73" i="4"/>
  <c r="H73" i="4"/>
  <c r="EN137" i="4"/>
  <c r="ER129" i="4"/>
  <c r="V73" i="4"/>
  <c r="AM59" i="4"/>
  <c r="AM51" i="4"/>
  <c r="AM43" i="4"/>
  <c r="AM35" i="4"/>
  <c r="AM27" i="4"/>
  <c r="AM19" i="4"/>
  <c r="AM11" i="4"/>
  <c r="F17" i="4"/>
  <c r="F25" i="4"/>
  <c r="F33" i="4"/>
  <c r="AM60" i="4"/>
  <c r="AM52" i="4"/>
  <c r="AM44" i="4"/>
  <c r="AM36" i="4"/>
  <c r="AM28" i="4"/>
  <c r="AM20" i="4"/>
  <c r="F16" i="4"/>
  <c r="F32" i="4"/>
  <c r="AM58" i="4"/>
  <c r="AM50" i="4"/>
  <c r="AM42" i="4"/>
  <c r="AM34" i="4"/>
  <c r="AM26" i="4"/>
  <c r="AM18" i="4"/>
  <c r="F11" i="4"/>
  <c r="F18" i="4"/>
  <c r="F26" i="4"/>
  <c r="F34" i="4"/>
  <c r="AM57" i="4"/>
  <c r="AM49" i="4"/>
  <c r="AM41" i="4"/>
  <c r="AM33" i="4"/>
  <c r="AM25" i="4"/>
  <c r="AM17" i="4"/>
  <c r="F12" i="4"/>
  <c r="F19" i="4"/>
  <c r="F27" i="4"/>
  <c r="AM64" i="4"/>
  <c r="AM56" i="4"/>
  <c r="AM48" i="4"/>
  <c r="AM40" i="4"/>
  <c r="AM32" i="4"/>
  <c r="AM24" i="4"/>
  <c r="AM16" i="4"/>
  <c r="F20" i="4"/>
  <c r="F28" i="4"/>
  <c r="F24" i="4"/>
  <c r="AM63" i="4"/>
  <c r="AM55" i="4"/>
  <c r="AM47" i="4"/>
  <c r="AM39" i="4"/>
  <c r="AM31" i="4"/>
  <c r="AM23" i="4"/>
  <c r="AM15" i="4"/>
  <c r="F13" i="4"/>
  <c r="F21" i="4"/>
  <c r="F29" i="4"/>
  <c r="AM53" i="4"/>
  <c r="AM29" i="4"/>
  <c r="AM13" i="4"/>
  <c r="F15" i="4"/>
  <c r="F31" i="4"/>
  <c r="AM12" i="4"/>
  <c r="AM62" i="4"/>
  <c r="AM54" i="4"/>
  <c r="AM46" i="4"/>
  <c r="AM38" i="4"/>
  <c r="AM30" i="4"/>
  <c r="AM22" i="4"/>
  <c r="AM14" i="4"/>
  <c r="F14" i="4"/>
  <c r="F22" i="4"/>
  <c r="F30" i="4"/>
  <c r="AM61" i="4"/>
  <c r="AM45" i="4"/>
  <c r="AM37" i="4"/>
  <c r="AM21" i="4"/>
  <c r="F23" i="4"/>
  <c r="F40" i="4"/>
  <c r="R10" i="4"/>
  <c r="AC10" i="4"/>
  <c r="S10" i="4"/>
  <c r="AG10" i="4"/>
  <c r="AH10" i="4"/>
  <c r="U10" i="4"/>
  <c r="J10" i="4"/>
  <c r="AI10" i="4"/>
  <c r="AJ10" i="4"/>
  <c r="L10" i="4"/>
  <c r="Z10" i="4"/>
  <c r="Y10" i="4"/>
  <c r="M10" i="4"/>
  <c r="AA10" i="4"/>
  <c r="T10" i="4"/>
  <c r="K10" i="4"/>
  <c r="Q10" i="4"/>
  <c r="AB10" i="4"/>
  <c r="F53" i="4"/>
  <c r="F49" i="4"/>
  <c r="L66" i="4"/>
  <c r="O10" i="4"/>
  <c r="W10" i="4"/>
  <c r="AE10" i="4"/>
  <c r="H10" i="4"/>
  <c r="P10" i="4"/>
  <c r="X10" i="4"/>
  <c r="AF10" i="4"/>
  <c r="I66" i="4"/>
  <c r="N10" i="4"/>
  <c r="V10" i="4"/>
  <c r="AD10" i="4"/>
  <c r="AH66" i="4"/>
  <c r="F60" i="4"/>
  <c r="J66" i="4"/>
  <c r="AB66" i="4"/>
  <c r="K66" i="4"/>
  <c r="AG66" i="4"/>
  <c r="Q66" i="4"/>
  <c r="AJ66" i="4"/>
  <c r="F42" i="4"/>
  <c r="L2" i="4"/>
  <c r="R66" i="4"/>
  <c r="F36" i="4"/>
  <c r="F62" i="4"/>
  <c r="T66" i="4"/>
  <c r="Y66" i="4"/>
  <c r="F55" i="4"/>
  <c r="F38" i="4"/>
  <c r="F47" i="4"/>
  <c r="F57" i="4"/>
  <c r="S66" i="4"/>
  <c r="AA66" i="4"/>
  <c r="AI66" i="4"/>
  <c r="F43" i="4"/>
  <c r="F50" i="4"/>
  <c r="F35" i="4"/>
  <c r="F41" i="4"/>
  <c r="F59" i="4"/>
  <c r="F61" i="4"/>
  <c r="F63" i="4"/>
  <c r="M66" i="4"/>
  <c r="U66" i="4"/>
  <c r="AC66" i="4"/>
  <c r="AK66" i="4"/>
  <c r="F37" i="4"/>
  <c r="F39" i="4"/>
  <c r="F48" i="4"/>
  <c r="F54" i="4"/>
  <c r="F56" i="4"/>
  <c r="N66" i="4"/>
  <c r="V66" i="4"/>
  <c r="AD66" i="4"/>
  <c r="F45" i="4"/>
  <c r="F51" i="4"/>
  <c r="O3" i="4"/>
  <c r="O66" i="4"/>
  <c r="W66" i="4"/>
  <c r="AE66" i="4"/>
  <c r="O2" i="4"/>
  <c r="O4" i="4" s="1"/>
  <c r="F52" i="4"/>
  <c r="F44" i="4"/>
  <c r="F46" i="4"/>
  <c r="L3" i="4"/>
  <c r="F58" i="4"/>
  <c r="H66" i="4"/>
  <c r="P66" i="4"/>
  <c r="X66" i="4"/>
  <c r="T10" i="5" l="1"/>
  <c r="T47" i="5"/>
  <c r="S64" i="5"/>
  <c r="S81" i="5" s="1"/>
  <c r="T64" i="5"/>
  <c r="H75" i="5"/>
  <c r="AA20" i="5" s="1"/>
  <c r="AA18" i="5"/>
  <c r="AA11" i="5"/>
  <c r="AB10" i="5"/>
  <c r="Z19" i="5"/>
  <c r="G75" i="5"/>
  <c r="Z20" i="5" s="1"/>
  <c r="Z21" i="5" s="1"/>
  <c r="J5" i="5"/>
  <c r="H58" i="5"/>
  <c r="AA19" i="5" s="1"/>
  <c r="AB17" i="5"/>
  <c r="I41" i="5"/>
  <c r="I42" i="5"/>
  <c r="I76" i="5" s="1"/>
  <c r="X116" i="4"/>
  <c r="W116" i="4" s="1"/>
  <c r="W113" i="4"/>
  <c r="BJ177" i="4" s="1"/>
  <c r="EG117" i="4"/>
  <c r="EH117" i="4" s="1"/>
  <c r="EI117" i="4" s="1"/>
  <c r="EJ117" i="4" s="1"/>
  <c r="EK117" i="4" s="1"/>
  <c r="EL117" i="4" s="1"/>
  <c r="EM117" i="4" s="1"/>
  <c r="BF181" i="4"/>
  <c r="S180" i="4"/>
  <c r="EG180" i="4" s="1"/>
  <c r="BL181" i="4"/>
  <c r="AB122" i="4"/>
  <c r="AA122" i="4" s="1"/>
  <c r="AG125" i="4"/>
  <c r="AF125" i="4" s="1"/>
  <c r="AH127" i="4"/>
  <c r="BU191" i="4" s="1"/>
  <c r="AD123" i="4"/>
  <c r="AC123" i="4" s="1"/>
  <c r="AC186" i="4" s="1"/>
  <c r="EQ186" i="4" s="1"/>
  <c r="Y118" i="4"/>
  <c r="BL182" i="4" s="1"/>
  <c r="AA121" i="4"/>
  <c r="Z121" i="4" s="1"/>
  <c r="Z120" i="4"/>
  <c r="Y120" i="4" s="1"/>
  <c r="EF119" i="4"/>
  <c r="EG119" i="4" s="1"/>
  <c r="EH119" i="4" s="1"/>
  <c r="EI119" i="4" s="1"/>
  <c r="EJ119" i="4" s="1"/>
  <c r="EK119" i="4" s="1"/>
  <c r="EL119" i="4" s="1"/>
  <c r="EM119" i="4" s="1"/>
  <c r="EN119" i="4" s="1"/>
  <c r="R182" i="4"/>
  <c r="EF182" i="4" s="1"/>
  <c r="BE183" i="4"/>
  <c r="Z182" i="4"/>
  <c r="EN182" i="4" s="1"/>
  <c r="BM183" i="4"/>
  <c r="AF124" i="4"/>
  <c r="AE124" i="4" s="1"/>
  <c r="AW190" i="4"/>
  <c r="DX126" i="4"/>
  <c r="DY126" i="4" s="1"/>
  <c r="DZ126" i="4" s="1"/>
  <c r="EA126" i="4" s="1"/>
  <c r="EB126" i="4" s="1"/>
  <c r="EC126" i="4" s="1"/>
  <c r="ED126" i="4" s="1"/>
  <c r="EE126" i="4" s="1"/>
  <c r="EF126" i="4" s="1"/>
  <c r="EG126" i="4" s="1"/>
  <c r="EH126" i="4" s="1"/>
  <c r="EI126" i="4" s="1"/>
  <c r="EJ126" i="4" s="1"/>
  <c r="EK126" i="4" s="1"/>
  <c r="EL126" i="4" s="1"/>
  <c r="EM126" i="4" s="1"/>
  <c r="EN126" i="4" s="1"/>
  <c r="EO126" i="4" s="1"/>
  <c r="EP126" i="4" s="1"/>
  <c r="EQ126" i="4" s="1"/>
  <c r="ER126" i="4" s="1"/>
  <c r="ES126" i="4" s="1"/>
  <c r="ET126" i="4" s="1"/>
  <c r="EU126" i="4" s="1"/>
  <c r="EV126" i="4" s="1"/>
  <c r="J189" i="4"/>
  <c r="DX189" i="4" s="1"/>
  <c r="AH189" i="4"/>
  <c r="EV189" i="4" s="1"/>
  <c r="BU190" i="4"/>
  <c r="BV192" i="4"/>
  <c r="AI191" i="4"/>
  <c r="EW191" i="4" s="1"/>
  <c r="DW128" i="4"/>
  <c r="DX128" i="4" s="1"/>
  <c r="DY128" i="4" s="1"/>
  <c r="DZ128" i="4" s="1"/>
  <c r="EA128" i="4" s="1"/>
  <c r="EB128" i="4" s="1"/>
  <c r="EC128" i="4" s="1"/>
  <c r="ED128" i="4" s="1"/>
  <c r="EE128" i="4" s="1"/>
  <c r="EF128" i="4" s="1"/>
  <c r="EG128" i="4" s="1"/>
  <c r="EH128" i="4" s="1"/>
  <c r="EI128" i="4" s="1"/>
  <c r="EJ128" i="4" s="1"/>
  <c r="EK128" i="4" s="1"/>
  <c r="EL128" i="4" s="1"/>
  <c r="EM128" i="4" s="1"/>
  <c r="EN128" i="4" s="1"/>
  <c r="EO128" i="4" s="1"/>
  <c r="EP128" i="4" s="1"/>
  <c r="EQ128" i="4" s="1"/>
  <c r="ER128" i="4" s="1"/>
  <c r="ES128" i="4" s="1"/>
  <c r="ET128" i="4" s="1"/>
  <c r="EU128" i="4" s="1"/>
  <c r="EV128" i="4" s="1"/>
  <c r="AV192" i="4"/>
  <c r="I191" i="4"/>
  <c r="DW191" i="4" s="1"/>
  <c r="BH157" i="4"/>
  <c r="EI93" i="4"/>
  <c r="EJ93" i="4" s="1"/>
  <c r="EK93" i="4" s="1"/>
  <c r="BH171" i="4"/>
  <c r="EI107" i="4"/>
  <c r="EJ107" i="4" s="1"/>
  <c r="EK107" i="4" s="1"/>
  <c r="BJ161" i="4"/>
  <c r="EI90" i="4"/>
  <c r="EJ90" i="4" s="1"/>
  <c r="EK90" i="4" s="1"/>
  <c r="BH154" i="4"/>
  <c r="BJ174" i="4"/>
  <c r="EI103" i="4"/>
  <c r="EJ103" i="4" s="1"/>
  <c r="EK103" i="4" s="1"/>
  <c r="BH167" i="4"/>
  <c r="BJ157" i="4"/>
  <c r="EI110" i="4"/>
  <c r="EJ110" i="4" s="1"/>
  <c r="EK110" i="4" s="1"/>
  <c r="BH174" i="4"/>
  <c r="BH149" i="4"/>
  <c r="EI85" i="4"/>
  <c r="EJ85" i="4" s="1"/>
  <c r="EK85" i="4" s="1"/>
  <c r="BH163" i="4"/>
  <c r="EI99" i="4"/>
  <c r="EJ99" i="4" s="1"/>
  <c r="EK99" i="4" s="1"/>
  <c r="BJ153" i="4"/>
  <c r="EH115" i="4"/>
  <c r="EI115" i="4" s="1"/>
  <c r="EJ115" i="4" s="1"/>
  <c r="EK115" i="4" s="1"/>
  <c r="EL115" i="4" s="1"/>
  <c r="BG179" i="4"/>
  <c r="BH176" i="4"/>
  <c r="EI112" i="4"/>
  <c r="EJ112" i="4" s="1"/>
  <c r="EK112" i="4" s="1"/>
  <c r="BJ166" i="4"/>
  <c r="EI95" i="4"/>
  <c r="EJ95" i="4" s="1"/>
  <c r="EK95" i="4" s="1"/>
  <c r="BH159" i="4"/>
  <c r="BJ149" i="4"/>
  <c r="EI94" i="4"/>
  <c r="EJ94" i="4" s="1"/>
  <c r="EK94" i="4" s="1"/>
  <c r="BH158" i="4"/>
  <c r="EI102" i="4"/>
  <c r="EJ102" i="4" s="1"/>
  <c r="EK102" i="4" s="1"/>
  <c r="BH166" i="4"/>
  <c r="BJ170" i="4"/>
  <c r="BH155" i="4"/>
  <c r="EI91" i="4"/>
  <c r="EJ91" i="4" s="1"/>
  <c r="EK91" i="4" s="1"/>
  <c r="BJ175" i="4"/>
  <c r="BH168" i="4"/>
  <c r="EI104" i="4"/>
  <c r="EJ104" i="4" s="1"/>
  <c r="EK104" i="4" s="1"/>
  <c r="BJ158" i="4"/>
  <c r="EI87" i="4"/>
  <c r="EJ87" i="4" s="1"/>
  <c r="EK87" i="4" s="1"/>
  <c r="BH151" i="4"/>
  <c r="EI86" i="4"/>
  <c r="EJ86" i="4" s="1"/>
  <c r="EK86" i="4" s="1"/>
  <c r="BH150" i="4"/>
  <c r="EI108" i="4"/>
  <c r="EJ108" i="4" s="1"/>
  <c r="EK108" i="4" s="1"/>
  <c r="BH172" i="4"/>
  <c r="BJ162" i="4"/>
  <c r="BG178" i="4"/>
  <c r="T177" i="4"/>
  <c r="EH177" i="4" s="1"/>
  <c r="EH114" i="4"/>
  <c r="EI114" i="4" s="1"/>
  <c r="EJ114" i="4" s="1"/>
  <c r="EK114" i="4" s="1"/>
  <c r="EL114" i="4" s="1"/>
  <c r="BJ167" i="4"/>
  <c r="BH160" i="4"/>
  <c r="EI96" i="4"/>
  <c r="EJ96" i="4" s="1"/>
  <c r="EK96" i="4" s="1"/>
  <c r="BJ150" i="4"/>
  <c r="BJ164" i="4"/>
  <c r="BJ171" i="4"/>
  <c r="EI100" i="4"/>
  <c r="EJ100" i="4" s="1"/>
  <c r="EK100" i="4" s="1"/>
  <c r="BH164" i="4"/>
  <c r="BJ154" i="4"/>
  <c r="BJ176" i="4"/>
  <c r="BH169" i="4"/>
  <c r="EI105" i="4"/>
  <c r="EJ105" i="4" s="1"/>
  <c r="EK105" i="4" s="1"/>
  <c r="BJ159" i="4"/>
  <c r="BH152" i="4"/>
  <c r="EI88" i="4"/>
  <c r="EJ88" i="4" s="1"/>
  <c r="EK88" i="4" s="1"/>
  <c r="BJ163" i="4"/>
  <c r="EI92" i="4"/>
  <c r="EJ92" i="4" s="1"/>
  <c r="EK92" i="4" s="1"/>
  <c r="BH156" i="4"/>
  <c r="X177" i="4"/>
  <c r="EL177" i="4" s="1"/>
  <c r="BK178" i="4"/>
  <c r="BJ168" i="4"/>
  <c r="BH161" i="4"/>
  <c r="EI97" i="4"/>
  <c r="EJ97" i="4" s="1"/>
  <c r="EK97" i="4" s="1"/>
  <c r="BJ151" i="4"/>
  <c r="BH173" i="4"/>
  <c r="EI109" i="4"/>
  <c r="EJ109" i="4" s="1"/>
  <c r="EK109" i="4" s="1"/>
  <c r="BJ155" i="4"/>
  <c r="BJ172" i="4"/>
  <c r="EI106" i="4"/>
  <c r="EJ106" i="4" s="1"/>
  <c r="EK106" i="4" s="1"/>
  <c r="BH170" i="4"/>
  <c r="BJ160" i="4"/>
  <c r="BH153" i="4"/>
  <c r="EI89" i="4"/>
  <c r="EJ89" i="4" s="1"/>
  <c r="EK89" i="4" s="1"/>
  <c r="BJ173" i="4"/>
  <c r="BH165" i="4"/>
  <c r="EI101" i="4"/>
  <c r="EJ101" i="4" s="1"/>
  <c r="EK101" i="4" s="1"/>
  <c r="BK179" i="4"/>
  <c r="BJ156" i="4"/>
  <c r="BJ169" i="4"/>
  <c r="EI98" i="4"/>
  <c r="EJ98" i="4" s="1"/>
  <c r="EK98" i="4" s="1"/>
  <c r="BH162" i="4"/>
  <c r="BJ152" i="4"/>
  <c r="EI111" i="4"/>
  <c r="EJ111" i="4" s="1"/>
  <c r="EK111" i="4" s="1"/>
  <c r="BH175" i="4"/>
  <c r="BJ165" i="4"/>
  <c r="BK147" i="4"/>
  <c r="X148" i="4"/>
  <c r="W84" i="4"/>
  <c r="T148" i="4"/>
  <c r="EH83" i="4"/>
  <c r="EI83" i="4" s="1"/>
  <c r="EJ83" i="4" s="1"/>
  <c r="EK83" i="4" s="1"/>
  <c r="EL83" i="4" s="1"/>
  <c r="BG147" i="4"/>
  <c r="X82" i="4"/>
  <c r="Y81" i="4"/>
  <c r="BD143" i="4"/>
  <c r="EE79" i="4"/>
  <c r="EF79" i="4" s="1"/>
  <c r="EG79" i="4" s="1"/>
  <c r="EH79" i="4" s="1"/>
  <c r="EI79" i="4" s="1"/>
  <c r="EJ79" i="4" s="1"/>
  <c r="EK79" i="4" s="1"/>
  <c r="EL79" i="4" s="1"/>
  <c r="EM79" i="4" s="1"/>
  <c r="EN79" i="4" s="1"/>
  <c r="EO79" i="4" s="1"/>
  <c r="Q144" i="4"/>
  <c r="BN143" i="4"/>
  <c r="AA144" i="4"/>
  <c r="Z80" i="4"/>
  <c r="AA78" i="4"/>
  <c r="BC140" i="4"/>
  <c r="ED76" i="4"/>
  <c r="EE76" i="4" s="1"/>
  <c r="EF76" i="4" s="1"/>
  <c r="EG76" i="4" s="1"/>
  <c r="EH76" i="4" s="1"/>
  <c r="EI76" i="4" s="1"/>
  <c r="EJ76" i="4" s="1"/>
  <c r="EK76" i="4" s="1"/>
  <c r="EL76" i="4" s="1"/>
  <c r="EM76" i="4" s="1"/>
  <c r="EN76" i="4" s="1"/>
  <c r="EO76" i="4" s="1"/>
  <c r="EP76" i="4" s="1"/>
  <c r="BC141" i="4"/>
  <c r="P142" i="4"/>
  <c r="ED77" i="4"/>
  <c r="EE77" i="4" s="1"/>
  <c r="EF77" i="4" s="1"/>
  <c r="EG77" i="4" s="1"/>
  <c r="EH77" i="4" s="1"/>
  <c r="EI77" i="4" s="1"/>
  <c r="EJ77" i="4" s="1"/>
  <c r="EK77" i="4" s="1"/>
  <c r="EL77" i="4" s="1"/>
  <c r="EM77" i="4" s="1"/>
  <c r="EN77" i="4" s="1"/>
  <c r="EO77" i="4" s="1"/>
  <c r="EP77" i="4" s="1"/>
  <c r="BO140" i="4"/>
  <c r="AB142" i="4"/>
  <c r="BO141" i="4"/>
  <c r="BO139" i="4"/>
  <c r="EP139" i="4" s="1"/>
  <c r="ED75" i="4"/>
  <c r="EE75" i="4" s="1"/>
  <c r="EF75" i="4" s="1"/>
  <c r="EG75" i="4" s="1"/>
  <c r="EH75" i="4" s="1"/>
  <c r="EI75" i="4" s="1"/>
  <c r="EJ75" i="4" s="1"/>
  <c r="EK75" i="4" s="1"/>
  <c r="EL75" i="4" s="1"/>
  <c r="EM75" i="4" s="1"/>
  <c r="EN75" i="4" s="1"/>
  <c r="EO75" i="4" s="1"/>
  <c r="EP75" i="4" s="1"/>
  <c r="BC139" i="4"/>
  <c r="ED139" i="4" s="1"/>
  <c r="L4" i="4"/>
  <c r="AA21" i="5" l="1"/>
  <c r="Z22" i="5"/>
  <c r="AC10" i="5"/>
  <c r="AB11" i="5"/>
  <c r="AB18" i="5"/>
  <c r="T81" i="5"/>
  <c r="K5" i="5"/>
  <c r="I58" i="5"/>
  <c r="AB19" i="5" s="1"/>
  <c r="AC17" i="5"/>
  <c r="J42" i="5"/>
  <c r="J76" i="5" s="1"/>
  <c r="J41" i="5"/>
  <c r="T9" i="5"/>
  <c r="T46" i="5"/>
  <c r="S63" i="5"/>
  <c r="S80" i="5" s="1"/>
  <c r="T63" i="5"/>
  <c r="BP187" i="4"/>
  <c r="EQ187" i="4" s="1"/>
  <c r="V113" i="4"/>
  <c r="U113" i="4" s="1"/>
  <c r="BH177" i="4" s="1"/>
  <c r="DX190" i="4"/>
  <c r="AA184" i="4"/>
  <c r="EO184" i="4" s="1"/>
  <c r="EG181" i="4"/>
  <c r="AB123" i="4"/>
  <c r="AA123" i="4" s="1"/>
  <c r="X118" i="4"/>
  <c r="W118" i="4" s="1"/>
  <c r="V94" i="4"/>
  <c r="BI158" i="4" s="1"/>
  <c r="BM184" i="4"/>
  <c r="BO186" i="4"/>
  <c r="EP140" i="4"/>
  <c r="EP141" i="4" s="1"/>
  <c r="EP142" i="4" s="1"/>
  <c r="V99" i="4"/>
  <c r="BI163" i="4" s="1"/>
  <c r="V87" i="4"/>
  <c r="BI151" i="4" s="1"/>
  <c r="BK180" i="4"/>
  <c r="BN185" i="4"/>
  <c r="X117" i="4"/>
  <c r="Y180" i="4" s="1"/>
  <c r="EM180" i="4" s="1"/>
  <c r="EM181" i="4" s="1"/>
  <c r="EM182" i="4" s="1"/>
  <c r="EN183" i="4"/>
  <c r="AG188" i="4"/>
  <c r="EU188" i="4" s="1"/>
  <c r="BT189" i="4"/>
  <c r="AG127" i="4"/>
  <c r="AF127" i="4" s="1"/>
  <c r="V88" i="4"/>
  <c r="BI152" i="4" s="1"/>
  <c r="V112" i="4"/>
  <c r="BI176" i="4" s="1"/>
  <c r="V100" i="4"/>
  <c r="BI164" i="4" s="1"/>
  <c r="V103" i="4"/>
  <c r="BI167" i="4" s="1"/>
  <c r="V96" i="4"/>
  <c r="BI160" i="4" s="1"/>
  <c r="V92" i="4"/>
  <c r="BI156" i="4" s="1"/>
  <c r="V93" i="4"/>
  <c r="BI157" i="4" s="1"/>
  <c r="AB185" i="4"/>
  <c r="EP185" i="4" s="1"/>
  <c r="W115" i="4"/>
  <c r="BJ179" i="4" s="1"/>
  <c r="Y119" i="4"/>
  <c r="V90" i="4"/>
  <c r="BI154" i="4" s="1"/>
  <c r="EH178" i="4"/>
  <c r="EH179" i="4" s="1"/>
  <c r="V102" i="4"/>
  <c r="BI166" i="4" s="1"/>
  <c r="V104" i="4"/>
  <c r="BI168" i="4" s="1"/>
  <c r="V89" i="4"/>
  <c r="BI153" i="4" s="1"/>
  <c r="EL178" i="4"/>
  <c r="EL179" i="4" s="1"/>
  <c r="V95" i="4"/>
  <c r="BI159" i="4" s="1"/>
  <c r="V110" i="4"/>
  <c r="BI174" i="4" s="1"/>
  <c r="ED140" i="4"/>
  <c r="ED141" i="4" s="1"/>
  <c r="ED142" i="4" s="1"/>
  <c r="EF183" i="4"/>
  <c r="BR188" i="4"/>
  <c r="AE187" i="4"/>
  <c r="ES187" i="4" s="1"/>
  <c r="AD124" i="4"/>
  <c r="AG126" i="4"/>
  <c r="EV190" i="4"/>
  <c r="EV191" i="4" s="1"/>
  <c r="AH192" i="4" s="1"/>
  <c r="AH191" i="4" s="1"/>
  <c r="AH190" i="4" s="1"/>
  <c r="AI192" i="4"/>
  <c r="EW192" i="4"/>
  <c r="I192" i="4"/>
  <c r="DW192" i="4"/>
  <c r="EW128" i="4"/>
  <c r="AH128" i="4"/>
  <c r="V97" i="4"/>
  <c r="BI161" i="4" s="1"/>
  <c r="V106" i="4"/>
  <c r="BI170" i="4" s="1"/>
  <c r="X120" i="4"/>
  <c r="BL184" i="4"/>
  <c r="BJ180" i="4"/>
  <c r="V116" i="4"/>
  <c r="BN186" i="4"/>
  <c r="Z122" i="4"/>
  <c r="AE125" i="4"/>
  <c r="BS189" i="4"/>
  <c r="AF188" i="4"/>
  <c r="ET188" i="4" s="1"/>
  <c r="BM185" i="4"/>
  <c r="Y121" i="4"/>
  <c r="V108" i="4"/>
  <c r="BI172" i="4" s="1"/>
  <c r="V109" i="4"/>
  <c r="BI173" i="4" s="1"/>
  <c r="W114" i="4"/>
  <c r="V107" i="4"/>
  <c r="BI171" i="4" s="1"/>
  <c r="V86" i="4"/>
  <c r="BI150" i="4" s="1"/>
  <c r="V98" i="4"/>
  <c r="BI162" i="4" s="1"/>
  <c r="V111" i="4"/>
  <c r="BI175" i="4" s="1"/>
  <c r="V101" i="4"/>
  <c r="BI165" i="4" s="1"/>
  <c r="V105" i="4"/>
  <c r="BI169" i="4" s="1"/>
  <c r="V91" i="4"/>
  <c r="BI155" i="4" s="1"/>
  <c r="V85" i="4"/>
  <c r="BI149" i="4" s="1"/>
  <c r="V84" i="4"/>
  <c r="BJ148" i="4"/>
  <c r="W83" i="4"/>
  <c r="W82" i="4"/>
  <c r="BK146" i="4"/>
  <c r="X81" i="4"/>
  <c r="Y146" i="4"/>
  <c r="BL145" i="4"/>
  <c r="BM144" i="4"/>
  <c r="Z145" i="4"/>
  <c r="Y80" i="4"/>
  <c r="Z79" i="4"/>
  <c r="AA76" i="4"/>
  <c r="AA77" i="4"/>
  <c r="Z78" i="4"/>
  <c r="BN142" i="4"/>
  <c r="AA75" i="4"/>
  <c r="AD10" i="5" l="1"/>
  <c r="AC11" i="5"/>
  <c r="AA22" i="5"/>
  <c r="T80" i="5"/>
  <c r="L5" i="5"/>
  <c r="J58" i="5"/>
  <c r="AC19" i="5" s="1"/>
  <c r="AD17" i="5"/>
  <c r="K42" i="5"/>
  <c r="K76" i="5" s="1"/>
  <c r="K41" i="5"/>
  <c r="T8" i="5"/>
  <c r="T45" i="5"/>
  <c r="T62" i="5"/>
  <c r="T79" i="5" s="1"/>
  <c r="S62" i="5"/>
  <c r="S79" i="5" s="1"/>
  <c r="I75" i="5"/>
  <c r="AB20" i="5" s="1"/>
  <c r="AB21" i="5" s="1"/>
  <c r="AC18" i="5"/>
  <c r="BI177" i="4"/>
  <c r="BK182" i="4"/>
  <c r="EO185" i="4"/>
  <c r="EO186" i="4" s="1"/>
  <c r="EN184" i="4"/>
  <c r="EN185" i="4" s="1"/>
  <c r="BO187" i="4"/>
  <c r="BT191" i="4"/>
  <c r="EP186" i="4"/>
  <c r="BK181" i="4"/>
  <c r="W117" i="4"/>
  <c r="V117" i="4" s="1"/>
  <c r="EL180" i="4"/>
  <c r="EU189" i="4"/>
  <c r="AB141" i="4"/>
  <c r="AB140" i="4" s="1"/>
  <c r="AB139" i="4" s="1"/>
  <c r="P141" i="4"/>
  <c r="P140" i="4" s="1"/>
  <c r="P139" i="4" s="1"/>
  <c r="V115" i="4"/>
  <c r="U115" i="4" s="1"/>
  <c r="BH179" i="4" s="1"/>
  <c r="BL183" i="4"/>
  <c r="EM183" i="4" s="1"/>
  <c r="EM184" i="4" s="1"/>
  <c r="X119" i="4"/>
  <c r="AC124" i="4"/>
  <c r="AD187" i="4"/>
  <c r="ER187" i="4" s="1"/>
  <c r="BQ188" i="4"/>
  <c r="ES188" i="4"/>
  <c r="AF126" i="4"/>
  <c r="BT190" i="4"/>
  <c r="BU192" i="4"/>
  <c r="EV192" i="4" s="1"/>
  <c r="AG128" i="4"/>
  <c r="X121" i="4"/>
  <c r="BL185" i="4"/>
  <c r="BI180" i="4"/>
  <c r="U116" i="4"/>
  <c r="BJ178" i="4"/>
  <c r="V114" i="4"/>
  <c r="Z123" i="4"/>
  <c r="BN187" i="4"/>
  <c r="BJ182" i="4"/>
  <c r="V118" i="4"/>
  <c r="Y122" i="4"/>
  <c r="BM186" i="4"/>
  <c r="AD125" i="4"/>
  <c r="BR189" i="4"/>
  <c r="W120" i="4"/>
  <c r="BK184" i="4"/>
  <c r="ET189" i="4"/>
  <c r="AE127" i="4"/>
  <c r="BS191" i="4"/>
  <c r="V83" i="4"/>
  <c r="BJ147" i="4"/>
  <c r="U84" i="4"/>
  <c r="BH148" i="4" s="1"/>
  <c r="BI148" i="4"/>
  <c r="V82" i="4"/>
  <c r="BJ146" i="4"/>
  <c r="W81" i="4"/>
  <c r="BK145" i="4"/>
  <c r="Y79" i="4"/>
  <c r="BM143" i="4"/>
  <c r="X80" i="4"/>
  <c r="BL144" i="4"/>
  <c r="Y78" i="4"/>
  <c r="BM142" i="4"/>
  <c r="Z77" i="4"/>
  <c r="BN141" i="4"/>
  <c r="Z76" i="4"/>
  <c r="BN140" i="4"/>
  <c r="Z75" i="4"/>
  <c r="BN139" i="4"/>
  <c r="EO139" i="4" s="1"/>
  <c r="AB22" i="5" l="1"/>
  <c r="AE10" i="5"/>
  <c r="AD11" i="5"/>
  <c r="J75" i="5"/>
  <c r="AC20" i="5" s="1"/>
  <c r="AC21" i="5" s="1"/>
  <c r="M5" i="5"/>
  <c r="K58" i="5"/>
  <c r="AD19" i="5" s="1"/>
  <c r="AE17" i="5"/>
  <c r="L42" i="5"/>
  <c r="L76" i="5" s="1"/>
  <c r="L41" i="5"/>
  <c r="T7" i="5"/>
  <c r="T44" i="5"/>
  <c r="T61" i="5"/>
  <c r="T78" i="5" s="1"/>
  <c r="S61" i="5"/>
  <c r="S78" i="5" s="1"/>
  <c r="K75" i="5"/>
  <c r="AD20" i="5" s="1"/>
  <c r="AD18" i="5"/>
  <c r="EP187" i="4"/>
  <c r="BJ181" i="4"/>
  <c r="EL181" i="4"/>
  <c r="EL182" i="4" s="1"/>
  <c r="EU190" i="4"/>
  <c r="EU191" i="4" s="1"/>
  <c r="AG192" i="4" s="1"/>
  <c r="AG191" i="4" s="1"/>
  <c r="AG190" i="4" s="1"/>
  <c r="AG189" i="4" s="1"/>
  <c r="EO187" i="4"/>
  <c r="BI179" i="4"/>
  <c r="EN186" i="4"/>
  <c r="BI181" i="4"/>
  <c r="U117" i="4"/>
  <c r="ES189" i="4"/>
  <c r="EM185" i="4"/>
  <c r="W119" i="4"/>
  <c r="BK183" i="4"/>
  <c r="EO140" i="4"/>
  <c r="EO141" i="4" s="1"/>
  <c r="EO142" i="4" s="1"/>
  <c r="EO143" i="4" s="1"/>
  <c r="AA143" i="4" s="1"/>
  <c r="AA142" i="4" s="1"/>
  <c r="AA141" i="4" s="1"/>
  <c r="AA140" i="4" s="1"/>
  <c r="AA139" i="4" s="1"/>
  <c r="ER188" i="4"/>
  <c r="AB124" i="4"/>
  <c r="BP188" i="4"/>
  <c r="EQ188" i="4" s="1"/>
  <c r="AE126" i="4"/>
  <c r="BS190" i="4"/>
  <c r="ET190" i="4" s="1"/>
  <c r="ET191" i="4" s="1"/>
  <c r="AF192" i="4" s="1"/>
  <c r="AF191" i="4" s="1"/>
  <c r="AF190" i="4" s="1"/>
  <c r="AF189" i="4" s="1"/>
  <c r="BT192" i="4"/>
  <c r="AF128" i="4"/>
  <c r="U118" i="4"/>
  <c r="BI182" i="4"/>
  <c r="T116" i="4"/>
  <c r="BG180" i="4" s="1"/>
  <c r="EH180" i="4" s="1"/>
  <c r="BH180" i="4"/>
  <c r="X122" i="4"/>
  <c r="BL186" i="4"/>
  <c r="V120" i="4"/>
  <c r="BJ184" i="4"/>
  <c r="Y123" i="4"/>
  <c r="BM187" i="4"/>
  <c r="AC125" i="4"/>
  <c r="BQ189" i="4"/>
  <c r="W121" i="4"/>
  <c r="BK185" i="4"/>
  <c r="AD127" i="4"/>
  <c r="BR191" i="4"/>
  <c r="BI178" i="4"/>
  <c r="U114" i="4"/>
  <c r="BH178" i="4" s="1"/>
  <c r="U83" i="4"/>
  <c r="BH147" i="4" s="1"/>
  <c r="BI147" i="4"/>
  <c r="U82" i="4"/>
  <c r="BI146" i="4"/>
  <c r="V81" i="4"/>
  <c r="BJ145" i="4"/>
  <c r="W80" i="4"/>
  <c r="BK144" i="4"/>
  <c r="X79" i="4"/>
  <c r="BL143" i="4"/>
  <c r="Y76" i="4"/>
  <c r="BM140" i="4"/>
  <c r="Y77" i="4"/>
  <c r="BM141" i="4"/>
  <c r="X78" i="4"/>
  <c r="BL142" i="4"/>
  <c r="Y75" i="4"/>
  <c r="BM139" i="4"/>
  <c r="EN139" i="4" s="1"/>
  <c r="AD21" i="5" l="1"/>
  <c r="AC22" i="5"/>
  <c r="AF10" i="5"/>
  <c r="AE11" i="5"/>
  <c r="AE18" i="5"/>
  <c r="T6" i="5"/>
  <c r="T43" i="5"/>
  <c r="T60" i="5"/>
  <c r="T77" i="5" s="1"/>
  <c r="S60" i="5"/>
  <c r="S77" i="5" s="1"/>
  <c r="N5" i="5"/>
  <c r="L58" i="5"/>
  <c r="AE19" i="5" s="1"/>
  <c r="AF17" i="5"/>
  <c r="M42" i="5"/>
  <c r="M76" i="5" s="1"/>
  <c r="M41" i="5"/>
  <c r="EU192" i="4"/>
  <c r="ER189" i="4"/>
  <c r="EL183" i="4"/>
  <c r="EL184" i="4" s="1"/>
  <c r="EL185" i="4" s="1"/>
  <c r="EN187" i="4"/>
  <c r="EM186" i="4"/>
  <c r="EN140" i="4"/>
  <c r="EN141" i="4" s="1"/>
  <c r="EN142" i="4" s="1"/>
  <c r="EN143" i="4" s="1"/>
  <c r="EN144" i="4" s="1"/>
  <c r="EN145" i="4" s="1"/>
  <c r="EO144" i="4"/>
  <c r="T117" i="4"/>
  <c r="BG181" i="4" s="1"/>
  <c r="EH181" i="4" s="1"/>
  <c r="BH181" i="4"/>
  <c r="V119" i="4"/>
  <c r="BJ183" i="4"/>
  <c r="AA124" i="4"/>
  <c r="BO188" i="4"/>
  <c r="EP188" i="4" s="1"/>
  <c r="AD126" i="4"/>
  <c r="BR190" i="4"/>
  <c r="ES190" i="4" s="1"/>
  <c r="ES191" i="4" s="1"/>
  <c r="AE192" i="4" s="1"/>
  <c r="AE191" i="4" s="1"/>
  <c r="AE190" i="4" s="1"/>
  <c r="AE189" i="4" s="1"/>
  <c r="AE188" i="4" s="1"/>
  <c r="BS192" i="4"/>
  <c r="ET192" i="4" s="1"/>
  <c r="AE128" i="4"/>
  <c r="AB125" i="4"/>
  <c r="BP189" i="4"/>
  <c r="EQ189" i="4" s="1"/>
  <c r="X123" i="4"/>
  <c r="BL187" i="4"/>
  <c r="BI184" i="4"/>
  <c r="U120" i="4"/>
  <c r="T118" i="4"/>
  <c r="BH182" i="4"/>
  <c r="W122" i="4"/>
  <c r="BK186" i="4"/>
  <c r="AC127" i="4"/>
  <c r="BQ191" i="4"/>
  <c r="V121" i="4"/>
  <c r="BJ185" i="4"/>
  <c r="T82" i="4"/>
  <c r="BG146" i="4" s="1"/>
  <c r="BH146" i="4"/>
  <c r="U81" i="4"/>
  <c r="BI145" i="4"/>
  <c r="W79" i="4"/>
  <c r="BK143" i="4"/>
  <c r="V80" i="4"/>
  <c r="BJ144" i="4"/>
  <c r="W78" i="4"/>
  <c r="BK142" i="4"/>
  <c r="X77" i="4"/>
  <c r="BL141" i="4"/>
  <c r="X76" i="4"/>
  <c r="BL140" i="4"/>
  <c r="X75" i="4"/>
  <c r="BL139" i="4"/>
  <c r="EM139" i="4" s="1"/>
  <c r="AG10" i="5" l="1"/>
  <c r="AF11" i="5"/>
  <c r="AE21" i="5"/>
  <c r="AD22" i="5"/>
  <c r="O5" i="5"/>
  <c r="AG17" i="5"/>
  <c r="M58" i="5"/>
  <c r="AF19" i="5" s="1"/>
  <c r="N42" i="5"/>
  <c r="N76" i="5" s="1"/>
  <c r="N41" i="5"/>
  <c r="AF18" i="5"/>
  <c r="T5" i="5"/>
  <c r="T42" i="5"/>
  <c r="T59" i="5"/>
  <c r="T76" i="5" s="1"/>
  <c r="S59" i="5"/>
  <c r="L75" i="5"/>
  <c r="AE20" i="5" s="1"/>
  <c r="EM187" i="4"/>
  <c r="EL186" i="4"/>
  <c r="BI183" i="4"/>
  <c r="U119" i="4"/>
  <c r="BN188" i="4"/>
  <c r="EO188" i="4" s="1"/>
  <c r="Z124" i="4"/>
  <c r="BQ190" i="4"/>
  <c r="ER190" i="4" s="1"/>
  <c r="ER191" i="4" s="1"/>
  <c r="AD192" i="4" s="1"/>
  <c r="AD191" i="4" s="1"/>
  <c r="AD190" i="4" s="1"/>
  <c r="AD189" i="4" s="1"/>
  <c r="AD188" i="4" s="1"/>
  <c r="AC126" i="4"/>
  <c r="BR192" i="4"/>
  <c r="ES192" i="4" s="1"/>
  <c r="AD128" i="4"/>
  <c r="T120" i="4"/>
  <c r="BH184" i="4"/>
  <c r="V122" i="4"/>
  <c r="BJ186" i="4"/>
  <c r="AA125" i="4"/>
  <c r="BO189" i="4"/>
  <c r="EP189" i="4" s="1"/>
  <c r="BI185" i="4"/>
  <c r="U121" i="4"/>
  <c r="W123" i="4"/>
  <c r="BK187" i="4"/>
  <c r="AB127" i="4"/>
  <c r="BP191" i="4"/>
  <c r="S118" i="4"/>
  <c r="BF182" i="4" s="1"/>
  <c r="EG182" i="4" s="1"/>
  <c r="BG182" i="4"/>
  <c r="EH182" i="4" s="1"/>
  <c r="T81" i="4"/>
  <c r="BH145" i="4"/>
  <c r="U80" i="4"/>
  <c r="BI144" i="4"/>
  <c r="V79" i="4"/>
  <c r="BJ143" i="4"/>
  <c r="W76" i="4"/>
  <c r="BK140" i="4"/>
  <c r="Z144" i="4"/>
  <c r="Z143" i="4" s="1"/>
  <c r="Z142" i="4" s="1"/>
  <c r="Z141" i="4" s="1"/>
  <c r="Z140" i="4" s="1"/>
  <c r="Z139" i="4" s="1"/>
  <c r="W77" i="4"/>
  <c r="BK141" i="4"/>
  <c r="EM140" i="4"/>
  <c r="EM141" i="4" s="1"/>
  <c r="EM142" i="4" s="1"/>
  <c r="EM143" i="4" s="1"/>
  <c r="EM144" i="4" s="1"/>
  <c r="EM145" i="4" s="1"/>
  <c r="Y145" i="4" s="1"/>
  <c r="Y144" i="4" s="1"/>
  <c r="Y143" i="4" s="1"/>
  <c r="Y142" i="4" s="1"/>
  <c r="Y141" i="4" s="1"/>
  <c r="Y140" i="4" s="1"/>
  <c r="Y139" i="4" s="1"/>
  <c r="V78" i="4"/>
  <c r="BJ142" i="4"/>
  <c r="W75" i="4"/>
  <c r="BK139" i="4"/>
  <c r="EL139" i="4" s="1"/>
  <c r="AE22" i="5" l="1"/>
  <c r="M75" i="5"/>
  <c r="AF20" i="5" s="1"/>
  <c r="AF21" i="5" s="1"/>
  <c r="AG18" i="5"/>
  <c r="AH10" i="5"/>
  <c r="AG11" i="5"/>
  <c r="P5" i="5"/>
  <c r="N58" i="5"/>
  <c r="AG19" i="5" s="1"/>
  <c r="AH17" i="5"/>
  <c r="O41" i="5"/>
  <c r="O42" i="5"/>
  <c r="O76" i="5" s="1"/>
  <c r="T41" i="5"/>
  <c r="AM18" i="5" s="1"/>
  <c r="AM17" i="5"/>
  <c r="EL140" i="4"/>
  <c r="EL141" i="4" s="1"/>
  <c r="EL142" i="4" s="1"/>
  <c r="EL143" i="4" s="1"/>
  <c r="EL144" i="4" s="1"/>
  <c r="EL145" i="4" s="1"/>
  <c r="EL146" i="4" s="1"/>
  <c r="EL147" i="4" s="1"/>
  <c r="EL148" i="4" s="1"/>
  <c r="EL187" i="4"/>
  <c r="T119" i="4"/>
  <c r="BH183" i="4"/>
  <c r="BM188" i="4"/>
  <c r="EN188" i="4" s="1"/>
  <c r="Y124" i="4"/>
  <c r="AB126" i="4"/>
  <c r="BP190" i="4"/>
  <c r="EQ190" i="4" s="1"/>
  <c r="EQ191" i="4" s="1"/>
  <c r="AC192" i="4" s="1"/>
  <c r="AC191" i="4" s="1"/>
  <c r="AC190" i="4" s="1"/>
  <c r="AC189" i="4" s="1"/>
  <c r="AC188" i="4" s="1"/>
  <c r="AC187" i="4" s="1"/>
  <c r="AC128" i="4"/>
  <c r="BQ192" i="4"/>
  <c r="ER192" i="4" s="1"/>
  <c r="S120" i="4"/>
  <c r="BG184" i="4"/>
  <c r="Z125" i="4"/>
  <c r="BN189" i="4"/>
  <c r="EO189" i="4" s="1"/>
  <c r="T121" i="4"/>
  <c r="BH185" i="4"/>
  <c r="V123" i="4"/>
  <c r="BJ187" i="4"/>
  <c r="AA127" i="4"/>
  <c r="BO191" i="4"/>
  <c r="U122" i="4"/>
  <c r="BI186" i="4"/>
  <c r="S81" i="4"/>
  <c r="BG145" i="4"/>
  <c r="U79" i="4"/>
  <c r="BI143" i="4"/>
  <c r="T80" i="4"/>
  <c r="BH144" i="4"/>
  <c r="U78" i="4"/>
  <c r="BI142" i="4"/>
  <c r="V77" i="4"/>
  <c r="BJ141" i="4"/>
  <c r="EM146" i="4"/>
  <c r="V76" i="4"/>
  <c r="BJ140" i="4"/>
  <c r="V75" i="4"/>
  <c r="BJ139" i="4"/>
  <c r="EK139" i="4" s="1"/>
  <c r="AF22" i="5" l="1"/>
  <c r="Q5" i="5"/>
  <c r="O58" i="5"/>
  <c r="AH19" i="5" s="1"/>
  <c r="AI17" i="5"/>
  <c r="P41" i="5"/>
  <c r="P42" i="5"/>
  <c r="P76" i="5" s="1"/>
  <c r="AI10" i="5"/>
  <c r="AH11" i="5"/>
  <c r="O75" i="5"/>
  <c r="AH20" i="5" s="1"/>
  <c r="AH18" i="5"/>
  <c r="N75" i="5"/>
  <c r="AG20" i="5" s="1"/>
  <c r="AG21" i="5" s="1"/>
  <c r="X147" i="4"/>
  <c r="X146" i="4" s="1"/>
  <c r="X145" i="4" s="1"/>
  <c r="X144" i="4" s="1"/>
  <c r="X143" i="4" s="1"/>
  <c r="X142" i="4" s="1"/>
  <c r="X141" i="4" s="1"/>
  <c r="X140" i="4" s="1"/>
  <c r="X139" i="4" s="1"/>
  <c r="S119" i="4"/>
  <c r="BF183" i="4" s="1"/>
  <c r="EG183" i="4" s="1"/>
  <c r="BG183" i="4"/>
  <c r="EH183" i="4" s="1"/>
  <c r="EH184" i="4" s="1"/>
  <c r="X124" i="4"/>
  <c r="BL188" i="4"/>
  <c r="EM188" i="4" s="1"/>
  <c r="AA126" i="4"/>
  <c r="BO190" i="4"/>
  <c r="EP190" i="4" s="1"/>
  <c r="EP191" i="4" s="1"/>
  <c r="AB192" i="4" s="1"/>
  <c r="AB191" i="4" s="1"/>
  <c r="AB190" i="4" s="1"/>
  <c r="AB189" i="4" s="1"/>
  <c r="AB188" i="4" s="1"/>
  <c r="AB187" i="4" s="1"/>
  <c r="AB186" i="4" s="1"/>
  <c r="AB128" i="4"/>
  <c r="BP192" i="4"/>
  <c r="EQ192" i="4" s="1"/>
  <c r="Z127" i="4"/>
  <c r="BN191" i="4"/>
  <c r="Y125" i="4"/>
  <c r="BM189" i="4"/>
  <c r="EN189" i="4" s="1"/>
  <c r="T122" i="4"/>
  <c r="BH186" i="4"/>
  <c r="BI187" i="4"/>
  <c r="U123" i="4"/>
  <c r="S121" i="4"/>
  <c r="BG185" i="4"/>
  <c r="R120" i="4"/>
  <c r="BE184" i="4" s="1"/>
  <c r="EF184" i="4" s="1"/>
  <c r="BF184" i="4"/>
  <c r="BF145" i="4"/>
  <c r="S146" i="4"/>
  <c r="S80" i="4"/>
  <c r="BG144" i="4"/>
  <c r="T79" i="4"/>
  <c r="BH143" i="4"/>
  <c r="EK140" i="4"/>
  <c r="EK141" i="4" s="1"/>
  <c r="EK142" i="4" s="1"/>
  <c r="EK143" i="4" s="1"/>
  <c r="EK144" i="4" s="1"/>
  <c r="EK145" i="4" s="1"/>
  <c r="EK146" i="4" s="1"/>
  <c r="EK147" i="4" s="1"/>
  <c r="EK148" i="4" s="1"/>
  <c r="EK149" i="4" s="1"/>
  <c r="EK150" i="4" s="1"/>
  <c r="EK151" i="4" s="1"/>
  <c r="EK152" i="4" s="1"/>
  <c r="EK153" i="4" s="1"/>
  <c r="EK154" i="4" s="1"/>
  <c r="EK155" i="4" s="1"/>
  <c r="EK156" i="4" s="1"/>
  <c r="EK157" i="4" s="1"/>
  <c r="EK158" i="4" s="1"/>
  <c r="EK159" i="4" s="1"/>
  <c r="EK160" i="4" s="1"/>
  <c r="EK161" i="4" s="1"/>
  <c r="EK162" i="4" s="1"/>
  <c r="EK163" i="4" s="1"/>
  <c r="EK164" i="4" s="1"/>
  <c r="EK165" i="4" s="1"/>
  <c r="EK166" i="4" s="1"/>
  <c r="EK167" i="4" s="1"/>
  <c r="EK168" i="4" s="1"/>
  <c r="EK169" i="4" s="1"/>
  <c r="EK170" i="4" s="1"/>
  <c r="EK171" i="4" s="1"/>
  <c r="EK172" i="4" s="1"/>
  <c r="EK173" i="4" s="1"/>
  <c r="EK174" i="4" s="1"/>
  <c r="EK175" i="4" s="1"/>
  <c r="EK176" i="4" s="1"/>
  <c r="EK177" i="4" s="1"/>
  <c r="EK178" i="4" s="1"/>
  <c r="EK179" i="4" s="1"/>
  <c r="EK180" i="4" s="1"/>
  <c r="EK181" i="4" s="1"/>
  <c r="EK182" i="4" s="1"/>
  <c r="EK183" i="4" s="1"/>
  <c r="EK184" i="4" s="1"/>
  <c r="EK185" i="4" s="1"/>
  <c r="EK186" i="4" s="1"/>
  <c r="EK187" i="4" s="1"/>
  <c r="U77" i="4"/>
  <c r="BI141" i="4"/>
  <c r="U76" i="4"/>
  <c r="BI140" i="4"/>
  <c r="T78" i="4"/>
  <c r="BH142" i="4"/>
  <c r="U75" i="4"/>
  <c r="BI139" i="4"/>
  <c r="EJ139" i="4" s="1"/>
  <c r="AH21" i="5" l="1"/>
  <c r="AG22" i="5"/>
  <c r="R5" i="5"/>
  <c r="P58" i="5"/>
  <c r="AI19" i="5" s="1"/>
  <c r="AJ17" i="5"/>
  <c r="Q41" i="5"/>
  <c r="Q42" i="5"/>
  <c r="Q76" i="5" s="1"/>
  <c r="AJ10" i="5"/>
  <c r="AI11" i="5"/>
  <c r="P75" i="5"/>
  <c r="AI20" i="5" s="1"/>
  <c r="AI18" i="5"/>
  <c r="EH185" i="4"/>
  <c r="EG184" i="4"/>
  <c r="W124" i="4"/>
  <c r="BK188" i="4"/>
  <c r="EL188" i="4" s="1"/>
  <c r="Z126" i="4"/>
  <c r="BN190" i="4"/>
  <c r="EO190" i="4" s="1"/>
  <c r="EO191" i="4" s="1"/>
  <c r="AA128" i="4"/>
  <c r="BO192" i="4"/>
  <c r="EP192" i="4" s="1"/>
  <c r="S122" i="4"/>
  <c r="BG186" i="4"/>
  <c r="Y127" i="4"/>
  <c r="BM191" i="4"/>
  <c r="R121" i="4"/>
  <c r="BF185" i="4"/>
  <c r="T123" i="4"/>
  <c r="BH187" i="4"/>
  <c r="X125" i="4"/>
  <c r="BL189" i="4"/>
  <c r="EM189" i="4" s="1"/>
  <c r="S79" i="4"/>
  <c r="BG143" i="4"/>
  <c r="R80" i="4"/>
  <c r="BF144" i="4"/>
  <c r="T76" i="4"/>
  <c r="BH140" i="4"/>
  <c r="S78" i="4"/>
  <c r="BG142" i="4"/>
  <c r="EJ140" i="4"/>
  <c r="EJ141" i="4" s="1"/>
  <c r="EJ142" i="4" s="1"/>
  <c r="EJ143" i="4" s="1"/>
  <c r="EJ144" i="4" s="1"/>
  <c r="EJ145" i="4" s="1"/>
  <c r="EJ146" i="4" s="1"/>
  <c r="EJ147" i="4" s="1"/>
  <c r="EJ148" i="4" s="1"/>
  <c r="EJ149" i="4" s="1"/>
  <c r="EJ150" i="4" s="1"/>
  <c r="EJ151" i="4" s="1"/>
  <c r="EJ152" i="4" s="1"/>
  <c r="EJ153" i="4" s="1"/>
  <c r="EJ154" i="4" s="1"/>
  <c r="EJ155" i="4" s="1"/>
  <c r="EJ156" i="4" s="1"/>
  <c r="EJ157" i="4" s="1"/>
  <c r="EJ158" i="4" s="1"/>
  <c r="EJ159" i="4" s="1"/>
  <c r="EJ160" i="4" s="1"/>
  <c r="EJ161" i="4" s="1"/>
  <c r="EJ162" i="4" s="1"/>
  <c r="EJ163" i="4" s="1"/>
  <c r="EJ164" i="4" s="1"/>
  <c r="EJ165" i="4" s="1"/>
  <c r="EJ166" i="4" s="1"/>
  <c r="EJ167" i="4" s="1"/>
  <c r="EJ168" i="4" s="1"/>
  <c r="EJ169" i="4" s="1"/>
  <c r="EJ170" i="4" s="1"/>
  <c r="EJ171" i="4" s="1"/>
  <c r="EJ172" i="4" s="1"/>
  <c r="EJ173" i="4" s="1"/>
  <c r="EJ174" i="4" s="1"/>
  <c r="EJ175" i="4" s="1"/>
  <c r="EJ176" i="4" s="1"/>
  <c r="EJ177" i="4" s="1"/>
  <c r="EJ178" i="4" s="1"/>
  <c r="EJ179" i="4" s="1"/>
  <c r="EJ180" i="4" s="1"/>
  <c r="EJ181" i="4" s="1"/>
  <c r="EJ182" i="4" s="1"/>
  <c r="EJ183" i="4" s="1"/>
  <c r="EJ184" i="4" s="1"/>
  <c r="EJ185" i="4" s="1"/>
  <c r="EJ186" i="4" s="1"/>
  <c r="EJ187" i="4" s="1"/>
  <c r="T77" i="4"/>
  <c r="BH141" i="4"/>
  <c r="T75" i="4"/>
  <c r="BH139" i="4"/>
  <c r="EI139" i="4" s="1"/>
  <c r="AK10" i="5" l="1"/>
  <c r="AJ11" i="5"/>
  <c r="AJ18" i="5"/>
  <c r="S5" i="5"/>
  <c r="Q58" i="5"/>
  <c r="AJ19" i="5" s="1"/>
  <c r="AK17" i="5"/>
  <c r="R42" i="5"/>
  <c r="R76" i="5" s="1"/>
  <c r="R41" i="5"/>
  <c r="S58" i="5"/>
  <c r="AL19" i="5" s="1"/>
  <c r="AI21" i="5"/>
  <c r="AH22" i="5"/>
  <c r="EG185" i="4"/>
  <c r="EH186" i="4"/>
  <c r="EI140" i="4"/>
  <c r="EI141" i="4" s="1"/>
  <c r="EI142" i="4" s="1"/>
  <c r="EI143" i="4" s="1"/>
  <c r="EI144" i="4" s="1"/>
  <c r="EI145" i="4" s="1"/>
  <c r="EI146" i="4" s="1"/>
  <c r="EI147" i="4" s="1"/>
  <c r="EI148" i="4" s="1"/>
  <c r="EI149" i="4" s="1"/>
  <c r="EI150" i="4" s="1"/>
  <c r="EI151" i="4" s="1"/>
  <c r="EI152" i="4" s="1"/>
  <c r="EI153" i="4" s="1"/>
  <c r="EI154" i="4" s="1"/>
  <c r="EI155" i="4" s="1"/>
  <c r="EI156" i="4" s="1"/>
  <c r="EI157" i="4" s="1"/>
  <c r="EI158" i="4" s="1"/>
  <c r="EI159" i="4" s="1"/>
  <c r="EI160" i="4" s="1"/>
  <c r="EI161" i="4" s="1"/>
  <c r="EI162" i="4" s="1"/>
  <c r="EI163" i="4" s="1"/>
  <c r="EI164" i="4" s="1"/>
  <c r="EI165" i="4" s="1"/>
  <c r="EI166" i="4" s="1"/>
  <c r="EI167" i="4" s="1"/>
  <c r="EI168" i="4" s="1"/>
  <c r="EI169" i="4" s="1"/>
  <c r="EI170" i="4" s="1"/>
  <c r="EI171" i="4" s="1"/>
  <c r="EI172" i="4" s="1"/>
  <c r="EI173" i="4" s="1"/>
  <c r="EI174" i="4" s="1"/>
  <c r="EI175" i="4" s="1"/>
  <c r="EI176" i="4" s="1"/>
  <c r="EI177" i="4" s="1"/>
  <c r="EI178" i="4" s="1"/>
  <c r="EI179" i="4" s="1"/>
  <c r="EI180" i="4" s="1"/>
  <c r="EI181" i="4" s="1"/>
  <c r="EI182" i="4" s="1"/>
  <c r="EI183" i="4" s="1"/>
  <c r="EI184" i="4" s="1"/>
  <c r="EI185" i="4" s="1"/>
  <c r="EI186" i="4" s="1"/>
  <c r="EI187" i="4" s="1"/>
  <c r="V124" i="4"/>
  <c r="BJ188" i="4"/>
  <c r="EK188" i="4" s="1"/>
  <c r="Y126" i="4"/>
  <c r="BM190" i="4"/>
  <c r="EN190" i="4" s="1"/>
  <c r="EN191" i="4" s="1"/>
  <c r="Z192" i="4" s="1"/>
  <c r="Z191" i="4" s="1"/>
  <c r="Z190" i="4" s="1"/>
  <c r="Z189" i="4" s="1"/>
  <c r="Z188" i="4" s="1"/>
  <c r="Z187" i="4" s="1"/>
  <c r="Z186" i="4" s="1"/>
  <c r="Z185" i="4" s="1"/>
  <c r="Z184" i="4" s="1"/>
  <c r="Z183" i="4" s="1"/>
  <c r="Z128" i="4"/>
  <c r="BN192" i="4"/>
  <c r="EO192" i="4" s="1"/>
  <c r="S123" i="4"/>
  <c r="BG187" i="4"/>
  <c r="Q121" i="4"/>
  <c r="BE185" i="4"/>
  <c r="EF185" i="4" s="1"/>
  <c r="X127" i="4"/>
  <c r="BL191" i="4"/>
  <c r="R122" i="4"/>
  <c r="BF186" i="4"/>
  <c r="AA192" i="4"/>
  <c r="AA191" i="4" s="1"/>
  <c r="AA190" i="4" s="1"/>
  <c r="AA189" i="4" s="1"/>
  <c r="AA188" i="4" s="1"/>
  <c r="AA187" i="4" s="1"/>
  <c r="AA186" i="4" s="1"/>
  <c r="AA185" i="4" s="1"/>
  <c r="W125" i="4"/>
  <c r="BK189" i="4"/>
  <c r="EL189" i="4" s="1"/>
  <c r="R145" i="4"/>
  <c r="BE144" i="4"/>
  <c r="R79" i="4"/>
  <c r="BE143" i="4" s="1"/>
  <c r="BF143" i="4"/>
  <c r="S77" i="4"/>
  <c r="BG141" i="4"/>
  <c r="R78" i="4"/>
  <c r="BF142" i="4"/>
  <c r="S76" i="4"/>
  <c r="BG140" i="4"/>
  <c r="S75" i="4"/>
  <c r="BG139" i="4"/>
  <c r="EH139" i="4" s="1"/>
  <c r="R58" i="5" l="1"/>
  <c r="AK19" i="5" s="1"/>
  <c r="AL17" i="5"/>
  <c r="S42" i="5"/>
  <c r="S76" i="5" s="1"/>
  <c r="S41" i="5"/>
  <c r="T58" i="5"/>
  <c r="AI22" i="5"/>
  <c r="Q75" i="5"/>
  <c r="AJ20" i="5" s="1"/>
  <c r="AJ21" i="5" s="1"/>
  <c r="R75" i="5"/>
  <c r="AK20" i="5" s="1"/>
  <c r="AK18" i="5"/>
  <c r="AL10" i="5"/>
  <c r="AK11" i="5"/>
  <c r="EG186" i="4"/>
  <c r="EH187" i="4"/>
  <c r="BI188" i="4"/>
  <c r="EJ188" i="4" s="1"/>
  <c r="U124" i="4"/>
  <c r="X126" i="4"/>
  <c r="BL190" i="4"/>
  <c r="EM190" i="4" s="1"/>
  <c r="EM191" i="4" s="1"/>
  <c r="Y192" i="4" s="1"/>
  <c r="Y191" i="4" s="1"/>
  <c r="Y190" i="4" s="1"/>
  <c r="Y189" i="4" s="1"/>
  <c r="Y188" i="4" s="1"/>
  <c r="Y187" i="4" s="1"/>
  <c r="Y186" i="4" s="1"/>
  <c r="Y185" i="4" s="1"/>
  <c r="Y184" i="4" s="1"/>
  <c r="Y183" i="4" s="1"/>
  <c r="Y182" i="4" s="1"/>
  <c r="Y181" i="4" s="1"/>
  <c r="Y128" i="4"/>
  <c r="BM192" i="4"/>
  <c r="EN192" i="4" s="1"/>
  <c r="Q122" i="4"/>
  <c r="BE186" i="4"/>
  <c r="EF186" i="4" s="1"/>
  <c r="BD185" i="4"/>
  <c r="Q184" i="4"/>
  <c r="EE184" i="4" s="1"/>
  <c r="R123" i="4"/>
  <c r="BF187" i="4"/>
  <c r="V125" i="4"/>
  <c r="BJ189" i="4"/>
  <c r="EK189" i="4" s="1"/>
  <c r="W127" i="4"/>
  <c r="BK191" i="4"/>
  <c r="R76" i="4"/>
  <c r="BF140" i="4"/>
  <c r="EH140" i="4"/>
  <c r="EH141" i="4" s="1"/>
  <c r="EH142" i="4" s="1"/>
  <c r="EH143" i="4" s="1"/>
  <c r="EH144" i="4" s="1"/>
  <c r="EH145" i="4" s="1"/>
  <c r="EH146" i="4" s="1"/>
  <c r="EH147" i="4" s="1"/>
  <c r="EH148" i="4" s="1"/>
  <c r="Q78" i="4"/>
  <c r="BD142" i="4" s="1"/>
  <c r="BE142" i="4"/>
  <c r="R77" i="4"/>
  <c r="BF141" i="4"/>
  <c r="R75" i="4"/>
  <c r="BF139" i="4"/>
  <c r="EG139" i="4" s="1"/>
  <c r="AK21" i="5" l="1"/>
  <c r="AJ22" i="5"/>
  <c r="AM19" i="5"/>
  <c r="T75" i="5"/>
  <c r="AM20" i="5" s="1"/>
  <c r="S75" i="5"/>
  <c r="AL20" i="5" s="1"/>
  <c r="AL18" i="5"/>
  <c r="AM10" i="5"/>
  <c r="AM11" i="5" s="1"/>
  <c r="AL11" i="5"/>
  <c r="EG187" i="4"/>
  <c r="EG140" i="4"/>
  <c r="EG141" i="4" s="1"/>
  <c r="EG142" i="4" s="1"/>
  <c r="EG143" i="4" s="1"/>
  <c r="EG144" i="4" s="1"/>
  <c r="EG145" i="4" s="1"/>
  <c r="EG146" i="4" s="1"/>
  <c r="T124" i="4"/>
  <c r="BH188" i="4"/>
  <c r="EI188" i="4" s="1"/>
  <c r="W126" i="4"/>
  <c r="BK190" i="4"/>
  <c r="EL190" i="4" s="1"/>
  <c r="EL191" i="4" s="1"/>
  <c r="X192" i="4" s="1"/>
  <c r="X191" i="4" s="1"/>
  <c r="X190" i="4" s="1"/>
  <c r="X189" i="4" s="1"/>
  <c r="X188" i="4" s="1"/>
  <c r="X187" i="4" s="1"/>
  <c r="X186" i="4" s="1"/>
  <c r="X185" i="4" s="1"/>
  <c r="X184" i="4" s="1"/>
  <c r="X183" i="4" s="1"/>
  <c r="X182" i="4" s="1"/>
  <c r="X181" i="4" s="1"/>
  <c r="X180" i="4" s="1"/>
  <c r="X179" i="4" s="1"/>
  <c r="X178" i="4" s="1"/>
  <c r="BL192" i="4"/>
  <c r="EM192" i="4" s="1"/>
  <c r="X128" i="4"/>
  <c r="U125" i="4"/>
  <c r="BI189" i="4"/>
  <c r="EJ189" i="4" s="1"/>
  <c r="V127" i="4"/>
  <c r="BJ191" i="4"/>
  <c r="P122" i="4"/>
  <c r="BD186" i="4"/>
  <c r="Q123" i="4"/>
  <c r="BE187" i="4"/>
  <c r="EF187" i="4" s="1"/>
  <c r="EE185" i="4"/>
  <c r="Q77" i="4"/>
  <c r="BD141" i="4" s="1"/>
  <c r="BE141" i="4"/>
  <c r="T147" i="4"/>
  <c r="T146" i="4" s="1"/>
  <c r="T145" i="4" s="1"/>
  <c r="T144" i="4" s="1"/>
  <c r="T143" i="4" s="1"/>
  <c r="T142" i="4" s="1"/>
  <c r="T141" i="4" s="1"/>
  <c r="T140" i="4" s="1"/>
  <c r="T139" i="4" s="1"/>
  <c r="Q76" i="4"/>
  <c r="BD140" i="4" s="1"/>
  <c r="BE140" i="4"/>
  <c r="Q75" i="4"/>
  <c r="BD139" i="4" s="1"/>
  <c r="EE139" i="4" s="1"/>
  <c r="BE139" i="4"/>
  <c r="EF139" i="4" s="1"/>
  <c r="AL21" i="5" l="1"/>
  <c r="AK22" i="5"/>
  <c r="EE186" i="4"/>
  <c r="S145" i="4"/>
  <c r="S144" i="4" s="1"/>
  <c r="S143" i="4" s="1"/>
  <c r="S142" i="4" s="1"/>
  <c r="S141" i="4" s="1"/>
  <c r="S140" i="4" s="1"/>
  <c r="S139" i="4" s="1"/>
  <c r="S124" i="4"/>
  <c r="BG188" i="4"/>
  <c r="EH188" i="4" s="1"/>
  <c r="V126" i="4"/>
  <c r="BJ190" i="4"/>
  <c r="EK190" i="4" s="1"/>
  <c r="EK191" i="4" s="1"/>
  <c r="W192" i="4" s="1"/>
  <c r="W191" i="4" s="1"/>
  <c r="W190" i="4" s="1"/>
  <c r="W189" i="4" s="1"/>
  <c r="W188" i="4" s="1"/>
  <c r="W187" i="4" s="1"/>
  <c r="W186" i="4" s="1"/>
  <c r="W185" i="4" s="1"/>
  <c r="W184" i="4" s="1"/>
  <c r="W183" i="4" s="1"/>
  <c r="W182" i="4" s="1"/>
  <c r="W181" i="4" s="1"/>
  <c r="W180" i="4" s="1"/>
  <c r="W179" i="4" s="1"/>
  <c r="W178" i="4" s="1"/>
  <c r="W177" i="4" s="1"/>
  <c r="W176" i="4" s="1"/>
  <c r="W175" i="4" s="1"/>
  <c r="W174" i="4" s="1"/>
  <c r="W173" i="4" s="1"/>
  <c r="W172" i="4" s="1"/>
  <c r="W171" i="4" s="1"/>
  <c r="W170" i="4" s="1"/>
  <c r="W169" i="4" s="1"/>
  <c r="W168" i="4" s="1"/>
  <c r="W167" i="4" s="1"/>
  <c r="W166" i="4" s="1"/>
  <c r="W165" i="4" s="1"/>
  <c r="W164" i="4" s="1"/>
  <c r="W163" i="4" s="1"/>
  <c r="W162" i="4" s="1"/>
  <c r="W161" i="4" s="1"/>
  <c r="W160" i="4" s="1"/>
  <c r="W159" i="4" s="1"/>
  <c r="W158" i="4" s="1"/>
  <c r="W157" i="4" s="1"/>
  <c r="W156" i="4" s="1"/>
  <c r="W155" i="4" s="1"/>
  <c r="W154" i="4" s="1"/>
  <c r="W153" i="4" s="1"/>
  <c r="W152" i="4" s="1"/>
  <c r="W151" i="4" s="1"/>
  <c r="W150" i="4" s="1"/>
  <c r="W149" i="4" s="1"/>
  <c r="W148" i="4" s="1"/>
  <c r="W147" i="4" s="1"/>
  <c r="W146" i="4" s="1"/>
  <c r="W145" i="4" s="1"/>
  <c r="W144" i="4" s="1"/>
  <c r="W143" i="4" s="1"/>
  <c r="W142" i="4" s="1"/>
  <c r="W141" i="4" s="1"/>
  <c r="W140" i="4" s="1"/>
  <c r="W139" i="4" s="1"/>
  <c r="W128" i="4"/>
  <c r="BK192" i="4"/>
  <c r="EL192" i="4" s="1"/>
  <c r="BI191" i="4"/>
  <c r="U127" i="4"/>
  <c r="T125" i="4"/>
  <c r="BH189" i="4"/>
  <c r="EI189" i="4" s="1"/>
  <c r="P123" i="4"/>
  <c r="BD187" i="4"/>
  <c r="P185" i="4"/>
  <c r="ED185" i="4" s="1"/>
  <c r="BC186" i="4"/>
  <c r="EF140" i="4"/>
  <c r="EF141" i="4" s="1"/>
  <c r="EF142" i="4" s="1"/>
  <c r="EF143" i="4" s="1"/>
  <c r="EF144" i="4" s="1"/>
  <c r="R144" i="4" s="1"/>
  <c r="R143" i="4" s="1"/>
  <c r="R142" i="4" s="1"/>
  <c r="R141" i="4" s="1"/>
  <c r="R140" i="4" s="1"/>
  <c r="R139" i="4" s="1"/>
  <c r="EE140" i="4"/>
  <c r="EE141" i="4" s="1"/>
  <c r="EE142" i="4" s="1"/>
  <c r="EE143" i="4" s="1"/>
  <c r="EE144" i="4" s="1"/>
  <c r="AL22" i="5" l="1"/>
  <c r="AM21" i="5"/>
  <c r="AM22" i="5" s="1"/>
  <c r="EE187" i="4"/>
  <c r="Q143" i="4"/>
  <c r="Q142" i="4" s="1"/>
  <c r="Q141" i="4" s="1"/>
  <c r="Q140" i="4" s="1"/>
  <c r="Q139" i="4" s="1"/>
  <c r="EF145" i="4"/>
  <c r="R124" i="4"/>
  <c r="BF188" i="4"/>
  <c r="EG188" i="4" s="1"/>
  <c r="BI190" i="4"/>
  <c r="EJ190" i="4" s="1"/>
  <c r="EJ191" i="4" s="1"/>
  <c r="V192" i="4" s="1"/>
  <c r="V191" i="4" s="1"/>
  <c r="V190" i="4" s="1"/>
  <c r="V189" i="4" s="1"/>
  <c r="V188" i="4" s="1"/>
  <c r="V187" i="4" s="1"/>
  <c r="V186" i="4" s="1"/>
  <c r="V185" i="4" s="1"/>
  <c r="V184" i="4" s="1"/>
  <c r="V183" i="4" s="1"/>
  <c r="V182" i="4" s="1"/>
  <c r="V181" i="4" s="1"/>
  <c r="V180" i="4" s="1"/>
  <c r="V179" i="4" s="1"/>
  <c r="V178" i="4" s="1"/>
  <c r="V177" i="4" s="1"/>
  <c r="V176" i="4" s="1"/>
  <c r="V175" i="4" s="1"/>
  <c r="V174" i="4" s="1"/>
  <c r="V173" i="4" s="1"/>
  <c r="V172" i="4" s="1"/>
  <c r="V171" i="4" s="1"/>
  <c r="V170" i="4" s="1"/>
  <c r="V169" i="4" s="1"/>
  <c r="V168" i="4" s="1"/>
  <c r="V167" i="4" s="1"/>
  <c r="V166" i="4" s="1"/>
  <c r="V165" i="4" s="1"/>
  <c r="V164" i="4" s="1"/>
  <c r="V163" i="4" s="1"/>
  <c r="V162" i="4" s="1"/>
  <c r="V161" i="4" s="1"/>
  <c r="V160" i="4" s="1"/>
  <c r="V159" i="4" s="1"/>
  <c r="V158" i="4" s="1"/>
  <c r="V157" i="4" s="1"/>
  <c r="V156" i="4" s="1"/>
  <c r="V155" i="4" s="1"/>
  <c r="V154" i="4" s="1"/>
  <c r="V153" i="4" s="1"/>
  <c r="V152" i="4" s="1"/>
  <c r="V151" i="4" s="1"/>
  <c r="V150" i="4" s="1"/>
  <c r="V149" i="4" s="1"/>
  <c r="V148" i="4" s="1"/>
  <c r="V147" i="4" s="1"/>
  <c r="V146" i="4" s="1"/>
  <c r="V145" i="4" s="1"/>
  <c r="V144" i="4" s="1"/>
  <c r="V143" i="4" s="1"/>
  <c r="V142" i="4" s="1"/>
  <c r="V141" i="4" s="1"/>
  <c r="V140" i="4" s="1"/>
  <c r="V139" i="4" s="1"/>
  <c r="U126" i="4"/>
  <c r="V128" i="4"/>
  <c r="BJ192" i="4"/>
  <c r="EK192" i="4" s="1"/>
  <c r="O123" i="4"/>
  <c r="BC187" i="4"/>
  <c r="S125" i="4"/>
  <c r="BG189" i="4"/>
  <c r="EH189" i="4" s="1"/>
  <c r="T127" i="4"/>
  <c r="BH191" i="4"/>
  <c r="ED186" i="4"/>
  <c r="ED187" i="4" l="1"/>
  <c r="BE188" i="4"/>
  <c r="EF188" i="4" s="1"/>
  <c r="Q124" i="4"/>
  <c r="T126" i="4"/>
  <c r="BH190" i="4"/>
  <c r="EI190" i="4" s="1"/>
  <c r="EI191" i="4" s="1"/>
  <c r="U192" i="4" s="1"/>
  <c r="U191" i="4" s="1"/>
  <c r="U190" i="4" s="1"/>
  <c r="U189" i="4" s="1"/>
  <c r="U188" i="4" s="1"/>
  <c r="U187" i="4" s="1"/>
  <c r="U186" i="4" s="1"/>
  <c r="U185" i="4" s="1"/>
  <c r="U184" i="4" s="1"/>
  <c r="U183" i="4" s="1"/>
  <c r="U182" i="4" s="1"/>
  <c r="U181" i="4" s="1"/>
  <c r="U180" i="4" s="1"/>
  <c r="U179" i="4" s="1"/>
  <c r="U178" i="4" s="1"/>
  <c r="U177" i="4" s="1"/>
  <c r="U176" i="4" s="1"/>
  <c r="U175" i="4" s="1"/>
  <c r="U174" i="4" s="1"/>
  <c r="U173" i="4" s="1"/>
  <c r="U172" i="4" s="1"/>
  <c r="U171" i="4" s="1"/>
  <c r="U170" i="4" s="1"/>
  <c r="U169" i="4" s="1"/>
  <c r="U168" i="4" s="1"/>
  <c r="U167" i="4" s="1"/>
  <c r="U166" i="4" s="1"/>
  <c r="U165" i="4" s="1"/>
  <c r="U164" i="4" s="1"/>
  <c r="U163" i="4" s="1"/>
  <c r="U162" i="4" s="1"/>
  <c r="U161" i="4" s="1"/>
  <c r="U160" i="4" s="1"/>
  <c r="U159" i="4" s="1"/>
  <c r="U158" i="4" s="1"/>
  <c r="U157" i="4" s="1"/>
  <c r="U156" i="4" s="1"/>
  <c r="U155" i="4" s="1"/>
  <c r="U154" i="4" s="1"/>
  <c r="U153" i="4" s="1"/>
  <c r="U152" i="4" s="1"/>
  <c r="U151" i="4" s="1"/>
  <c r="U150" i="4" s="1"/>
  <c r="U149" i="4" s="1"/>
  <c r="U148" i="4" s="1"/>
  <c r="U147" i="4" s="1"/>
  <c r="U146" i="4" s="1"/>
  <c r="U145" i="4" s="1"/>
  <c r="U144" i="4" s="1"/>
  <c r="U143" i="4" s="1"/>
  <c r="U142" i="4" s="1"/>
  <c r="U141" i="4" s="1"/>
  <c r="U140" i="4" s="1"/>
  <c r="U139" i="4" s="1"/>
  <c r="BI192" i="4"/>
  <c r="EJ192" i="4" s="1"/>
  <c r="U128" i="4"/>
  <c r="R125" i="4"/>
  <c r="BF189" i="4"/>
  <c r="EG189" i="4" s="1"/>
  <c r="S127" i="4"/>
  <c r="BG191" i="4"/>
  <c r="N123" i="4"/>
  <c r="BB187" i="4"/>
  <c r="O186" i="4"/>
  <c r="EC186" i="4" s="1"/>
  <c r="EC187" i="4" l="1"/>
  <c r="BD188" i="4"/>
  <c r="EE188" i="4" s="1"/>
  <c r="P124" i="4"/>
  <c r="S126" i="4"/>
  <c r="BG190" i="4"/>
  <c r="EH190" i="4" s="1"/>
  <c r="EH191" i="4" s="1"/>
  <c r="T192" i="4" s="1"/>
  <c r="T191" i="4" s="1"/>
  <c r="T190" i="4" s="1"/>
  <c r="T189" i="4" s="1"/>
  <c r="T188" i="4" s="1"/>
  <c r="T187" i="4" s="1"/>
  <c r="T186" i="4" s="1"/>
  <c r="T185" i="4" s="1"/>
  <c r="T184" i="4" s="1"/>
  <c r="T183" i="4" s="1"/>
  <c r="T182" i="4" s="1"/>
  <c r="T181" i="4" s="1"/>
  <c r="T180" i="4" s="1"/>
  <c r="T179" i="4" s="1"/>
  <c r="T178" i="4" s="1"/>
  <c r="T128" i="4"/>
  <c r="BH192" i="4"/>
  <c r="EI192" i="4" s="1"/>
  <c r="Q125" i="4"/>
  <c r="BE189" i="4"/>
  <c r="EF189" i="4" s="1"/>
  <c r="R127" i="4"/>
  <c r="BF191" i="4"/>
  <c r="O124" i="4" l="1"/>
  <c r="BC188" i="4"/>
  <c r="ED188" i="4" s="1"/>
  <c r="R126" i="4"/>
  <c r="BF190" i="4"/>
  <c r="EG190" i="4" s="1"/>
  <c r="EG191" i="4" s="1"/>
  <c r="S192" i="4" s="1"/>
  <c r="S191" i="4" s="1"/>
  <c r="S190" i="4" s="1"/>
  <c r="S189" i="4" s="1"/>
  <c r="S188" i="4" s="1"/>
  <c r="S187" i="4" s="1"/>
  <c r="S186" i="4" s="1"/>
  <c r="S185" i="4" s="1"/>
  <c r="S184" i="4" s="1"/>
  <c r="S183" i="4" s="1"/>
  <c r="S182" i="4" s="1"/>
  <c r="S181" i="4" s="1"/>
  <c r="S128" i="4"/>
  <c r="BG192" i="4"/>
  <c r="EH192" i="4" s="1"/>
  <c r="P125" i="4"/>
  <c r="BD189" i="4"/>
  <c r="EE189" i="4" s="1"/>
  <c r="Q127" i="4"/>
  <c r="BE191" i="4"/>
  <c r="N124" i="4" l="1"/>
  <c r="BB188" i="4"/>
  <c r="EC188" i="4" s="1"/>
  <c r="BE190" i="4"/>
  <c r="EF190" i="4" s="1"/>
  <c r="EF191" i="4" s="1"/>
  <c r="R192" i="4" s="1"/>
  <c r="R191" i="4" s="1"/>
  <c r="R190" i="4" s="1"/>
  <c r="R189" i="4" s="1"/>
  <c r="R188" i="4" s="1"/>
  <c r="R187" i="4" s="1"/>
  <c r="R186" i="4" s="1"/>
  <c r="R185" i="4" s="1"/>
  <c r="R184" i="4" s="1"/>
  <c r="R183" i="4" s="1"/>
  <c r="Q126" i="4"/>
  <c r="R128" i="4"/>
  <c r="BF192" i="4"/>
  <c r="EG192" i="4" s="1"/>
  <c r="O125" i="4"/>
  <c r="BC189" i="4"/>
  <c r="ED189" i="4" s="1"/>
  <c r="P127" i="4"/>
  <c r="BD191" i="4"/>
  <c r="M124" i="4" l="1"/>
  <c r="BA188" i="4"/>
  <c r="N187" i="4"/>
  <c r="EB187" i="4" s="1"/>
  <c r="P126" i="4"/>
  <c r="BD190" i="4"/>
  <c r="EE190" i="4" s="1"/>
  <c r="EE191" i="4" s="1"/>
  <c r="Q192" i="4" s="1"/>
  <c r="Q191" i="4" s="1"/>
  <c r="Q190" i="4" s="1"/>
  <c r="Q189" i="4" s="1"/>
  <c r="Q188" i="4" s="1"/>
  <c r="Q187" i="4" s="1"/>
  <c r="Q186" i="4" s="1"/>
  <c r="Q185" i="4" s="1"/>
  <c r="BE192" i="4"/>
  <c r="EF192" i="4" s="1"/>
  <c r="Q128" i="4"/>
  <c r="N125" i="4"/>
  <c r="BB189" i="4"/>
  <c r="EC189" i="4" s="1"/>
  <c r="O127" i="4"/>
  <c r="BC191" i="4"/>
  <c r="EB188" i="4" l="1"/>
  <c r="L124" i="4"/>
  <c r="AZ188" i="4"/>
  <c r="M187" i="4"/>
  <c r="EA187" i="4" s="1"/>
  <c r="BC190" i="4"/>
  <c r="ED190" i="4" s="1"/>
  <c r="ED191" i="4" s="1"/>
  <c r="P192" i="4" s="1"/>
  <c r="P191" i="4" s="1"/>
  <c r="P190" i="4" s="1"/>
  <c r="P189" i="4" s="1"/>
  <c r="P188" i="4" s="1"/>
  <c r="P187" i="4" s="1"/>
  <c r="P186" i="4" s="1"/>
  <c r="O126" i="4"/>
  <c r="P128" i="4"/>
  <c r="BD192" i="4"/>
  <c r="EE192" i="4" s="1"/>
  <c r="N127" i="4"/>
  <c r="BB191" i="4"/>
  <c r="M125" i="4"/>
  <c r="BA189" i="4"/>
  <c r="EB189" i="4" l="1"/>
  <c r="EA188" i="4"/>
  <c r="N126" i="4"/>
  <c r="BB190" i="4"/>
  <c r="EC190" i="4" s="1"/>
  <c r="EC191" i="4" s="1"/>
  <c r="O192" i="4" s="1"/>
  <c r="O191" i="4" s="1"/>
  <c r="O190" i="4" s="1"/>
  <c r="O189" i="4" s="1"/>
  <c r="O188" i="4" s="1"/>
  <c r="O187" i="4" s="1"/>
  <c r="O128" i="4"/>
  <c r="BC192" i="4"/>
  <c r="ED192" i="4" s="1"/>
  <c r="L125" i="4"/>
  <c r="AZ189" i="4"/>
  <c r="M127" i="4"/>
  <c r="BA191" i="4"/>
  <c r="EA189" i="4" l="1"/>
  <c r="M126" i="4"/>
  <c r="BA190" i="4"/>
  <c r="EB190" i="4" s="1"/>
  <c r="EB191" i="4" s="1"/>
  <c r="N128" i="4"/>
  <c r="BB192" i="4"/>
  <c r="EC192" i="4" s="1"/>
  <c r="L127" i="4"/>
  <c r="AZ191" i="4"/>
  <c r="K125" i="4"/>
  <c r="AY189" i="4"/>
  <c r="L188" i="4"/>
  <c r="DZ188" i="4" s="1"/>
  <c r="DZ189" i="4" l="1"/>
  <c r="AZ190" i="4"/>
  <c r="EA190" i="4" s="1"/>
  <c r="EA191" i="4" s="1"/>
  <c r="L126" i="4"/>
  <c r="M128" i="4"/>
  <c r="BA192" i="4"/>
  <c r="EB192" i="4" s="1"/>
  <c r="AX189" i="4"/>
  <c r="K188" i="4"/>
  <c r="DY188" i="4" s="1"/>
  <c r="K127" i="4"/>
  <c r="AY191" i="4"/>
  <c r="N192" i="4"/>
  <c r="N191" i="4" s="1"/>
  <c r="N190" i="4" s="1"/>
  <c r="N189" i="4" s="1"/>
  <c r="N188" i="4" s="1"/>
  <c r="DY189" i="4" l="1"/>
  <c r="AY190" i="4"/>
  <c r="DZ190" i="4" s="1"/>
  <c r="DZ191" i="4" s="1"/>
  <c r="L192" i="4" s="1"/>
  <c r="L191" i="4" s="1"/>
  <c r="L190" i="4" s="1"/>
  <c r="L189" i="4" s="1"/>
  <c r="K126" i="4"/>
  <c r="AX190" i="4" s="1"/>
  <c r="L128" i="4"/>
  <c r="AZ192" i="4"/>
  <c r="EA192" i="4" s="1"/>
  <c r="J127" i="4"/>
  <c r="AW191" i="4" s="1"/>
  <c r="DX191" i="4" s="1"/>
  <c r="AX191" i="4"/>
  <c r="M192" i="4"/>
  <c r="M191" i="4" s="1"/>
  <c r="M190" i="4" s="1"/>
  <c r="M189" i="4" s="1"/>
  <c r="M188" i="4" s="1"/>
  <c r="DY190" i="4" l="1"/>
  <c r="DY191" i="4" s="1"/>
  <c r="K192" i="4" s="1"/>
  <c r="K191" i="4" s="1"/>
  <c r="K190" i="4" s="1"/>
  <c r="K189" i="4" s="1"/>
  <c r="K128" i="4"/>
  <c r="AY192" i="4"/>
  <c r="DZ192" i="4" s="1"/>
  <c r="J192" i="4"/>
  <c r="J191" i="4" s="1"/>
  <c r="J190" i="4" s="1"/>
  <c r="J128" i="4" l="1"/>
  <c r="AW192" i="4" s="1"/>
  <c r="DX192" i="4" s="1"/>
  <c r="AX192" i="4"/>
  <c r="DY192" i="4" s="1"/>
</calcChain>
</file>

<file path=xl/sharedStrings.xml><?xml version="1.0" encoding="utf-8"?>
<sst xmlns="http://schemas.openxmlformats.org/spreadsheetml/2006/main" count="91" uniqueCount="59">
  <si>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</si>
  <si>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</si>
  <si>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</si>
  <si>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</si>
  <si>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</si>
  <si>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</si>
  <si>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</si>
  <si>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</si>
  <si>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</si>
  <si>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</si>
  <si>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</si>
  <si>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</si>
  <si>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</si>
  <si>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</si>
  <si>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</si>
  <si>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</si>
  <si>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</si>
  <si>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</si>
  <si>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</si>
  <si>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</si>
  <si>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</si>
  <si>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</si>
  <si>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</si>
  <si>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</si>
  <si>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t>n+1</t>
  </si>
  <si>
    <t>Fj</t>
  </si>
  <si>
    <t>αj</t>
  </si>
  <si>
    <t>βj</t>
  </si>
  <si>
    <t xml:space="preserve">     </t>
  </si>
  <si>
    <t xml:space="preserve">  </t>
  </si>
  <si>
    <t>Температура:</t>
  </si>
  <si>
    <t>Слева</t>
  </si>
  <si>
    <t>Справа:</t>
  </si>
  <si>
    <t>Сверху:</t>
  </si>
  <si>
    <r>
      <rPr>
        <sz val="36"/>
        <color theme="1"/>
        <rFont val="Calibri"/>
        <family val="2"/>
        <charset val="204"/>
      </rPr>
      <t>α</t>
    </r>
    <r>
      <rPr>
        <sz val="36"/>
        <color theme="1"/>
        <rFont val="Calibri"/>
        <family val="2"/>
        <charset val="204"/>
        <scheme val="minor"/>
      </rPr>
      <t>i</t>
    </r>
  </si>
  <si>
    <r>
      <rPr>
        <sz val="36"/>
        <color theme="1"/>
        <rFont val="Calibri"/>
        <family val="2"/>
        <charset val="204"/>
      </rPr>
      <t>β</t>
    </r>
    <r>
      <rPr>
        <sz val="36"/>
        <color theme="1"/>
        <rFont val="Calibri"/>
        <family val="2"/>
        <charset val="204"/>
        <scheme val="minor"/>
      </rPr>
      <t>i</t>
    </r>
  </si>
  <si>
    <t>alpha1</t>
  </si>
  <si>
    <t>alpha2</t>
  </si>
  <si>
    <t>dx=dy</t>
  </si>
  <si>
    <t>Vвходная</t>
  </si>
  <si>
    <t>Vвыходная</t>
  </si>
  <si>
    <t>pвыходная</t>
  </si>
  <si>
    <t>n_iter</t>
  </si>
  <si>
    <t>N_L</t>
  </si>
  <si>
    <t>N_H</t>
  </si>
  <si>
    <t>start_Row</t>
  </si>
  <si>
    <t>start_Column</t>
  </si>
  <si>
    <t>ϕ</t>
  </si>
  <si>
    <t>ψ</t>
  </si>
  <si>
    <t>U</t>
  </si>
  <si>
    <t>V</t>
  </si>
  <si>
    <t>x</t>
  </si>
  <si>
    <t>y</t>
  </si>
  <si>
    <t>p</t>
  </si>
  <si>
    <t>Нижн. Граница</t>
  </si>
  <si>
    <t>Верхн. Граница</t>
  </si>
  <si>
    <t>Vel.</t>
  </si>
  <si>
    <t>Magn(Vel)</t>
  </si>
  <si>
    <t>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</si>
</sst>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_ ;\-0.00\ "/>
    <numFmt numFmtId="166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0E9F0"/>
        <bgColor indexed="64"/>
      </patternFill>
    </fill>
    <fill>
      <patternFill patternType="solid">
        <fgColor rgb="FFE1AAA9"/>
        <bgColor indexed="64"/>
      </patternFill>
    </fill>
    <fill>
      <patternFill patternType="solid">
        <fgColor rgb="FFD17F7D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04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9" xfId="0" applyFill="1" applyBorder="1"/>
    <xf numFmtId="0" fontId="0" fillId="8" borderId="7" xfId="0" applyFill="1" applyBorder="1"/>
    <xf numFmtId="0" fontId="0" fillId="8" borderId="6" xfId="0" applyFill="1" applyBorder="1"/>
    <xf numFmtId="0" fontId="0" fillId="0" borderId="7" xfId="0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8" xfId="0" applyFill="1" applyBorder="1"/>
    <xf numFmtId="0" fontId="0" fillId="8" borderId="5" xfId="0" applyFill="1" applyBorder="1"/>
    <xf numFmtId="0" fontId="0" fillId="0" borderId="0" xfId="0" applyAlignment="1">
      <alignment vertical="center"/>
    </xf>
    <xf numFmtId="0" fontId="2" fillId="2" borderId="4" xfId="1" applyBorder="1" applyAlignment="1">
      <alignment vertical="center"/>
    </xf>
    <xf numFmtId="164" fontId="0" fillId="8" borderId="10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8" borderId="1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0" xfId="0" applyFont="1"/>
    <xf numFmtId="0" fontId="7" fillId="0" borderId="1" xfId="0" applyFont="1" applyBorder="1"/>
    <xf numFmtId="0" fontId="0" fillId="0" borderId="1" xfId="0" applyBorder="1" applyAlignment="1">
      <alignment horizontal="righ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11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0" xfId="0" applyBorder="1"/>
    <xf numFmtId="0" fontId="0" fillId="0" borderId="17" xfId="0" applyBorder="1" applyAlignment="1">
      <alignment horizontal="right"/>
    </xf>
    <xf numFmtId="0" fontId="0" fillId="0" borderId="7" xfId="0" applyBorder="1"/>
    <xf numFmtId="2" fontId="0" fillId="10" borderId="1" xfId="0" applyNumberFormat="1" applyFill="1" applyBorder="1" applyAlignment="1">
      <alignment horizontal="center"/>
    </xf>
    <xf numFmtId="0" fontId="0" fillId="10" borderId="13" xfId="0" applyFill="1" applyBorder="1" applyAlignment="1">
      <alignment horizontal="center" vertical="center"/>
    </xf>
    <xf numFmtId="166" fontId="0" fillId="9" borderId="0" xfId="0" applyNumberFormat="1" applyFill="1" applyBorder="1" applyAlignment="1">
      <alignment horizontal="center" vertical="center"/>
    </xf>
    <xf numFmtId="166" fontId="0" fillId="9" borderId="11" xfId="0" applyNumberFormat="1" applyFill="1" applyBorder="1" applyAlignment="1">
      <alignment horizontal="center" vertical="center"/>
    </xf>
    <xf numFmtId="166" fontId="0" fillId="9" borderId="5" xfId="0" applyNumberFormat="1" applyFill="1" applyBorder="1" applyAlignment="1">
      <alignment horizontal="center" vertical="center"/>
    </xf>
    <xf numFmtId="166" fontId="0" fillId="11" borderId="13" xfId="0" applyNumberFormat="1" applyFill="1" applyBorder="1" applyAlignment="1">
      <alignment horizontal="center" vertical="center"/>
    </xf>
    <xf numFmtId="2" fontId="0" fillId="11" borderId="12" xfId="0" applyNumberFormat="1" applyFill="1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2" fontId="0" fillId="9" borderId="5" xfId="0" applyNumberFormat="1" applyFill="1" applyBorder="1" applyAlignment="1">
      <alignment horizontal="center" vertical="center"/>
    </xf>
    <xf numFmtId="0" fontId="0" fillId="10" borderId="15" xfId="0" applyFill="1" applyBorder="1"/>
    <xf numFmtId="0" fontId="0" fillId="10" borderId="8" xfId="0" applyFill="1" applyBorder="1"/>
    <xf numFmtId="0" fontId="0" fillId="10" borderId="0" xfId="0" applyFill="1"/>
    <xf numFmtId="0" fontId="0" fillId="10" borderId="9" xfId="0" applyFill="1" applyBorder="1"/>
    <xf numFmtId="0" fontId="0" fillId="10" borderId="5" xfId="0" applyFill="1" applyBorder="1"/>
    <xf numFmtId="0" fontId="0" fillId="10" borderId="6" xfId="0" applyFill="1" applyBorder="1"/>
    <xf numFmtId="2" fontId="0" fillId="0" borderId="12" xfId="0" applyNumberFormat="1" applyBorder="1" applyAlignment="1">
      <alignment horizontal="center" vertical="center"/>
    </xf>
    <xf numFmtId="0" fontId="7" fillId="10" borderId="1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9" borderId="0" xfId="0" applyFill="1" applyBorder="1"/>
    <xf numFmtId="0" fontId="0" fillId="10" borderId="1" xfId="2" applyFont="1" applyFill="1" applyBorder="1" applyAlignment="1">
      <alignment horizontal="center" vertical="center"/>
    </xf>
    <xf numFmtId="164" fontId="0" fillId="10" borderId="1" xfId="2" applyNumberFormat="1" applyFont="1" applyFill="1" applyBorder="1" applyAlignment="1">
      <alignment horizontal="center" vertical="center"/>
    </xf>
    <xf numFmtId="0" fontId="0" fillId="10" borderId="1" xfId="2" applyFont="1" applyFill="1" applyBorder="1" applyAlignment="1">
      <alignment horizontal="center"/>
    </xf>
    <xf numFmtId="0" fontId="0" fillId="12" borderId="1" xfId="5" applyFont="1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165" fontId="0" fillId="12" borderId="1" xfId="0" applyNumberFormat="1" applyFill="1" applyBorder="1" applyAlignment="1">
      <alignment horizontal="center" vertical="center"/>
    </xf>
    <xf numFmtId="0" fontId="0" fillId="13" borderId="1" xfId="6" applyFont="1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3" fillId="15" borderId="1" xfId="3" applyFill="1" applyBorder="1" applyAlignment="1">
      <alignment horizontal="center" vertical="center"/>
    </xf>
    <xf numFmtId="0" fontId="0" fillId="16" borderId="1" xfId="0" applyFill="1" applyBorder="1" applyAlignment="1">
      <alignment vertical="center"/>
    </xf>
    <xf numFmtId="0" fontId="11" fillId="10" borderId="8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10" borderId="1" xfId="2" applyFont="1" applyFill="1" applyBorder="1" applyAlignment="1">
      <alignment horizontal="center" vertical="center" wrapText="1"/>
    </xf>
    <xf numFmtId="0" fontId="1" fillId="12" borderId="1" xfId="5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3" fillId="15" borderId="1" xfId="3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7">
    <cellStyle name="40% - Акцент2" xfId="4" builtinId="35"/>
    <cellStyle name="40% - Акцент3" xfId="5" builtinId="39"/>
    <cellStyle name="40% -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colors>
    <mruColors>
      <color rgb="FFD17F7D"/>
      <color rgb="FFE1AAA9"/>
      <color rgb="FFD0E9F0"/>
      <color rgb="FF74BED2"/>
      <color rgb="FFF25A30"/>
      <color rgb="FFE145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17168725468949"/>
          <c:y val="0.10331553059888962"/>
          <c:w val="0.55009031410191789"/>
          <c:h val="0.77549583781920017"/>
        </c:manualLayout>
      </c:layout>
      <c:scatterChart>
        <c:scatterStyle val="smoothMarker"/>
        <c:varyColors val="0"/>
        <c:ser>
          <c:idx val="0"/>
          <c:order val="0"/>
          <c:tx>
            <c:v> Верхняя граница</c:v>
          </c:tx>
          <c:xVal>
            <c:numRef>
              <c:f>main!$Y$15:$AM$15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main!$Y$22:$AM$22</c:f>
              <c:numCache>
                <c:formatCode>0.000</c:formatCode>
                <c:ptCount val="15"/>
                <c:pt idx="0">
                  <c:v>0</c:v>
                </c:pt>
                <c:pt idx="1">
                  <c:v>2.8143792815972121E-2</c:v>
                </c:pt>
                <c:pt idx="2">
                  <c:v>6.3816188339842483E-2</c:v>
                </c:pt>
                <c:pt idx="3">
                  <c:v>0.11458769853430567</c:v>
                </c:pt>
                <c:pt idx="4">
                  <c:v>0.18568974215537309</c:v>
                </c:pt>
                <c:pt idx="5">
                  <c:v>0.27485148536332416</c:v>
                </c:pt>
                <c:pt idx="6">
                  <c:v>0.36820608354144496</c:v>
                </c:pt>
                <c:pt idx="7">
                  <c:v>0.45398916747246404</c:v>
                </c:pt>
                <c:pt idx="8">
                  <c:v>0.52678679978649601</c:v>
                </c:pt>
                <c:pt idx="9">
                  <c:v>0.58591185904777376</c:v>
                </c:pt>
                <c:pt idx="10">
                  <c:v>0.63302381629124282</c:v>
                </c:pt>
                <c:pt idx="11">
                  <c:v>0.67058627308026186</c:v>
                </c:pt>
                <c:pt idx="12">
                  <c:v>0.70112117564480281</c:v>
                </c:pt>
                <c:pt idx="13">
                  <c:v>0.72692519267497113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D55-47C7-B0DF-21DAF777CFAD}"/>
            </c:ext>
          </c:extLst>
        </c:ser>
        <c:ser>
          <c:idx val="1"/>
          <c:order val="1"/>
          <c:tx>
            <c:v>Нижняя граница</c:v>
          </c:tx>
          <c:xVal>
            <c:numRef>
              <c:f>main!$Y$15:$AM$15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main!$Y$11:$AM$11</c:f>
              <c:numCache>
                <c:formatCode>0.000</c:formatCode>
                <c:ptCount val="15"/>
                <c:pt idx="0">
                  <c:v>0</c:v>
                </c:pt>
                <c:pt idx="1">
                  <c:v>-3.5737081709085031E-2</c:v>
                </c:pt>
                <c:pt idx="2">
                  <c:v>-9.1033940065535723E-2</c:v>
                </c:pt>
                <c:pt idx="3">
                  <c:v>-0.20357092308375285</c:v>
                </c:pt>
                <c:pt idx="4">
                  <c:v>-0.59334652345452921</c:v>
                </c:pt>
                <c:pt idx="5">
                  <c:v>0.30864060408581279</c:v>
                </c:pt>
                <c:pt idx="6">
                  <c:v>0.58970056073856536</c:v>
                </c:pt>
                <c:pt idx="7">
                  <c:v>0.74184415389492642</c:v>
                </c:pt>
                <c:pt idx="8">
                  <c:v>0.85363226476387355</c:v>
                </c:pt>
                <c:pt idx="9">
                  <c:v>0.95233497102919495</c:v>
                </c:pt>
                <c:pt idx="10">
                  <c:v>0.89241444793005942</c:v>
                </c:pt>
                <c:pt idx="11">
                  <c:v>0.84549091843771751</c:v>
                </c:pt>
                <c:pt idx="12">
                  <c:v>0.80891510741959793</c:v>
                </c:pt>
                <c:pt idx="13">
                  <c:v>0.77836960702436042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D55-47C7-B0DF-21DAF777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28768"/>
        <c:axId val="48535040"/>
      </c:scatterChart>
      <c:valAx>
        <c:axId val="48528768"/>
        <c:scaling>
          <c:orientation val="minMax"/>
          <c:max val="2.8"/>
          <c:min val="0"/>
        </c:scaling>
        <c:delete val="0"/>
        <c:axPos val="b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1800" b="0" i="1">
                    <a:latin typeface="Times New Roman" pitchFamily="18" charset="0"/>
                    <a:cs typeface="Times New Roman" pitchFamily="18" charset="0"/>
                  </a:rPr>
                  <a:t>x, </a:t>
                </a:r>
                <a:r>
                  <a:rPr lang="ru-RU" sz="1800" b="0" i="1">
                    <a:latin typeface="Times New Roman" pitchFamily="18" charset="0"/>
                    <a:cs typeface="Times New Roman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78396645178559476"/>
              <c:y val="0.5640338150732798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48535040"/>
        <c:crosses val="autoZero"/>
        <c:crossBetween val="midCat"/>
        <c:majorUnit val="0.2"/>
      </c:valAx>
      <c:valAx>
        <c:axId val="485350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 sz="2400" i="1">
                    <a:latin typeface="Times New Roman" pitchFamily="18" charset="0"/>
                    <a:cs typeface="Times New Roman" pitchFamily="18" charset="0"/>
                  </a:rPr>
                  <a:t>Ср</a:t>
                </a:r>
              </a:p>
            </c:rich>
          </c:tx>
          <c:layout>
            <c:manualLayout>
              <c:xMode val="edge"/>
              <c:yMode val="edge"/>
              <c:x val="4.1496434758686335E-2"/>
              <c:y val="2.8080688929739441E-2"/>
            </c:manualLayout>
          </c:layout>
          <c:overlay val="0"/>
        </c:title>
        <c:numFmt formatCode="0.000" sourceLinked="1"/>
        <c:majorTickMark val="none"/>
        <c:minorTickMark val="none"/>
        <c:tickLblPos val="low"/>
        <c:txPr>
          <a:bodyPr rot="-60000000" vert="horz"/>
          <a:lstStyle/>
          <a:p>
            <a:pPr>
              <a:defRPr/>
            </a:pPr>
            <a:endParaRPr lang="ru-RU"/>
          </a:p>
        </c:txPr>
        <c:crossAx val="48528768"/>
        <c:crosses val="autoZero"/>
        <c:crossBetween val="midCat"/>
      </c:valAx>
    </c:plotArea>
    <c:legend>
      <c:legendPos val="r"/>
      <c:overlay val="0"/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13334</xdr:colOff>
      <xdr:row>24</xdr:row>
      <xdr:rowOff>22859</xdr:rowOff>
    </xdr:from>
    <xdr:to>
      <xdr:col>49</xdr:col>
      <xdr:colOff>32384</xdr:colOff>
      <xdr:row>42</xdr:row>
      <xdr:rowOff>154304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AM87"/>
  <sheetViews>
    <sheetView workbookViewId="0">
      <selection activeCell="AG38" sqref="AG38"/>
    </sheetView>
  </sheetViews>
  <sheetFormatPr defaultRowHeight="14.4" x14ac:dyDescent="0.3"/>
  <cols>
    <col min="1" max="1" width="13" customWidth="1"/>
    <col min="4" max="5" width="5.6640625" customWidth="1"/>
    <col min="6" max="18" width="6.6640625" customWidth="1"/>
    <col min="19" max="19" width="6.109375" bestFit="1" customWidth="1"/>
    <col min="20" max="20" width="7.44140625" customWidth="1"/>
    <col min="21" max="22" width="5.6640625" customWidth="1"/>
    <col min="24" max="24" width="15.5546875" customWidth="1"/>
  </cols>
  <sheetData>
    <row r="2" spans="1:39" ht="15" x14ac:dyDescent="0.25">
      <c r="A2" s="1" t="s">
        <v>38</v>
      </c>
      <c r="B2" s="37">
        <v>0.2</v>
      </c>
    </row>
    <row r="3" spans="1:39" x14ac:dyDescent="0.3">
      <c r="A3" s="46"/>
      <c r="B3" s="47"/>
      <c r="C3" s="48"/>
      <c r="D3" s="84" t="s">
        <v>48</v>
      </c>
      <c r="E3" s="85"/>
      <c r="F3" s="3">
        <v>1</v>
      </c>
      <c r="G3" s="3">
        <v>2</v>
      </c>
      <c r="H3" s="3">
        <v>3</v>
      </c>
      <c r="I3" s="3">
        <v>4</v>
      </c>
      <c r="J3" s="3">
        <v>5</v>
      </c>
      <c r="K3" s="3">
        <v>6</v>
      </c>
      <c r="L3" s="3">
        <v>7</v>
      </c>
      <c r="M3" s="3">
        <v>8</v>
      </c>
      <c r="N3" s="3">
        <v>9</v>
      </c>
      <c r="O3" s="3">
        <v>10</v>
      </c>
      <c r="P3" s="3">
        <v>11</v>
      </c>
      <c r="Q3" s="3">
        <v>12</v>
      </c>
      <c r="R3" s="3">
        <v>13</v>
      </c>
      <c r="S3" s="3">
        <v>14</v>
      </c>
      <c r="T3" s="3">
        <v>15</v>
      </c>
      <c r="U3" s="59"/>
      <c r="V3" s="62"/>
      <c r="X3" s="1" t="s">
        <v>54</v>
      </c>
      <c r="Y3" s="39">
        <v>1</v>
      </c>
      <c r="Z3" s="39">
        <v>2</v>
      </c>
      <c r="AA3" s="39">
        <v>3</v>
      </c>
      <c r="AB3" s="39">
        <v>4</v>
      </c>
      <c r="AC3" s="39">
        <v>5</v>
      </c>
      <c r="AD3" s="39">
        <v>6</v>
      </c>
      <c r="AE3" s="39">
        <v>7</v>
      </c>
      <c r="AF3" s="39">
        <v>8</v>
      </c>
      <c r="AG3" s="39">
        <v>9</v>
      </c>
      <c r="AH3" s="39">
        <v>10</v>
      </c>
      <c r="AI3" s="39">
        <v>11</v>
      </c>
      <c r="AJ3" s="39">
        <v>12</v>
      </c>
      <c r="AK3" s="39">
        <v>13</v>
      </c>
      <c r="AL3" s="39">
        <v>14</v>
      </c>
      <c r="AM3" s="39">
        <v>15</v>
      </c>
    </row>
    <row r="4" spans="1:39" x14ac:dyDescent="0.3">
      <c r="A4" s="1" t="s">
        <v>39</v>
      </c>
      <c r="B4" s="37">
        <v>10</v>
      </c>
      <c r="D4" s="86"/>
      <c r="E4" s="87"/>
      <c r="F4" s="39">
        <f>$B$2*(F3-1)</f>
        <v>0</v>
      </c>
      <c r="G4" s="39">
        <f t="shared" ref="G4:T4" si="0">$B$2*(G3-1)</f>
        <v>0.2</v>
      </c>
      <c r="H4" s="39">
        <f t="shared" si="0"/>
        <v>0.4</v>
      </c>
      <c r="I4" s="39">
        <f t="shared" si="0"/>
        <v>0.60000000000000009</v>
      </c>
      <c r="J4" s="39">
        <f t="shared" si="0"/>
        <v>0.8</v>
      </c>
      <c r="K4" s="39">
        <f t="shared" si="0"/>
        <v>1</v>
      </c>
      <c r="L4" s="39">
        <f t="shared" si="0"/>
        <v>1.2000000000000002</v>
      </c>
      <c r="M4" s="39">
        <f t="shared" si="0"/>
        <v>1.4000000000000001</v>
      </c>
      <c r="N4" s="39">
        <f t="shared" si="0"/>
        <v>1.6</v>
      </c>
      <c r="O4" s="39">
        <f t="shared" si="0"/>
        <v>1.8</v>
      </c>
      <c r="P4" s="39">
        <f t="shared" si="0"/>
        <v>2</v>
      </c>
      <c r="Q4" s="39">
        <f t="shared" si="0"/>
        <v>2.2000000000000002</v>
      </c>
      <c r="R4" s="39">
        <f t="shared" si="0"/>
        <v>2.4000000000000004</v>
      </c>
      <c r="S4" s="39">
        <f t="shared" si="0"/>
        <v>2.6</v>
      </c>
      <c r="T4" s="39">
        <f t="shared" si="0"/>
        <v>2.8000000000000003</v>
      </c>
      <c r="U4" s="60"/>
      <c r="V4" s="63"/>
      <c r="X4" s="38" t="s">
        <v>51</v>
      </c>
      <c r="Y4" s="44">
        <f>$B$2*(Y3-1)</f>
        <v>0</v>
      </c>
      <c r="Z4" s="45">
        <f t="shared" ref="Z4:AM4" si="1">$B$2*(Z3-1)</f>
        <v>0.2</v>
      </c>
      <c r="AA4" s="45">
        <f t="shared" si="1"/>
        <v>0.4</v>
      </c>
      <c r="AB4" s="45">
        <f t="shared" si="1"/>
        <v>0.60000000000000009</v>
      </c>
      <c r="AC4" s="45">
        <f t="shared" si="1"/>
        <v>0.8</v>
      </c>
      <c r="AD4" s="45">
        <f t="shared" si="1"/>
        <v>1</v>
      </c>
      <c r="AE4" s="45">
        <f t="shared" si="1"/>
        <v>1.2000000000000002</v>
      </c>
      <c r="AF4" s="45">
        <f t="shared" si="1"/>
        <v>1.4000000000000001</v>
      </c>
      <c r="AG4" s="45">
        <f t="shared" si="1"/>
        <v>1.6</v>
      </c>
      <c r="AH4" s="45">
        <f t="shared" si="1"/>
        <v>1.8</v>
      </c>
      <c r="AI4" s="45">
        <f t="shared" si="1"/>
        <v>2</v>
      </c>
      <c r="AJ4" s="45">
        <f t="shared" si="1"/>
        <v>2.2000000000000002</v>
      </c>
      <c r="AK4" s="45">
        <f t="shared" si="1"/>
        <v>2.4000000000000004</v>
      </c>
      <c r="AL4" s="45">
        <f t="shared" si="1"/>
        <v>2.6</v>
      </c>
      <c r="AM4" s="45">
        <f t="shared" si="1"/>
        <v>2.8000000000000003</v>
      </c>
    </row>
    <row r="5" spans="1:39" x14ac:dyDescent="0.3">
      <c r="A5" s="1" t="s">
        <v>41</v>
      </c>
      <c r="B5" s="37">
        <v>101325</v>
      </c>
      <c r="D5" s="7">
        <v>11</v>
      </c>
      <c r="E5" s="49">
        <f t="shared" ref="E5:E13" si="2">$B$2*(D5-1)</f>
        <v>2</v>
      </c>
      <c r="F5" s="41">
        <f t="shared" ref="F5:F8" si="3">F6+$B$4*$B$2</f>
        <v>10</v>
      </c>
      <c r="G5" s="41">
        <f>F5</f>
        <v>10</v>
      </c>
      <c r="H5" s="41">
        <f t="shared" ref="H5:S5" si="4">G5</f>
        <v>10</v>
      </c>
      <c r="I5" s="41">
        <f t="shared" si="4"/>
        <v>10</v>
      </c>
      <c r="J5" s="41">
        <f t="shared" si="4"/>
        <v>10</v>
      </c>
      <c r="K5" s="41">
        <f t="shared" si="4"/>
        <v>10</v>
      </c>
      <c r="L5" s="41">
        <f t="shared" si="4"/>
        <v>10</v>
      </c>
      <c r="M5" s="41">
        <f t="shared" si="4"/>
        <v>10</v>
      </c>
      <c r="N5" s="41">
        <f t="shared" si="4"/>
        <v>10</v>
      </c>
      <c r="O5" s="41">
        <f t="shared" si="4"/>
        <v>10</v>
      </c>
      <c r="P5" s="41">
        <f t="shared" si="4"/>
        <v>10</v>
      </c>
      <c r="Q5" s="41">
        <f t="shared" si="4"/>
        <v>10</v>
      </c>
      <c r="R5" s="41">
        <f t="shared" si="4"/>
        <v>10</v>
      </c>
      <c r="S5" s="41">
        <f t="shared" si="4"/>
        <v>10</v>
      </c>
      <c r="T5" s="41">
        <f t="shared" ref="T5:T13" si="5">T6+$B$6*$B$2</f>
        <v>10</v>
      </c>
      <c r="U5" s="49">
        <f t="shared" ref="U5:U13" si="6">$B$2*(V5-1)</f>
        <v>2</v>
      </c>
      <c r="V5" s="3">
        <v>11</v>
      </c>
      <c r="X5" s="38" t="s">
        <v>52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0.8</v>
      </c>
      <c r="AE5" s="3">
        <v>0.6</v>
      </c>
      <c r="AF5" s="3">
        <v>0.4</v>
      </c>
      <c r="AG5" s="3">
        <v>0.2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</row>
    <row r="6" spans="1:39" x14ac:dyDescent="0.3">
      <c r="A6" s="1" t="s">
        <v>40</v>
      </c>
      <c r="B6" s="37">
        <f>((E5-E10)*B4)/(U5-U15)</f>
        <v>5</v>
      </c>
      <c r="D6" s="7">
        <v>10</v>
      </c>
      <c r="E6" s="49">
        <f t="shared" si="2"/>
        <v>1.8</v>
      </c>
      <c r="F6" s="41">
        <f t="shared" si="3"/>
        <v>8</v>
      </c>
      <c r="G6" s="41">
        <f>0.25*(G25+H24+G23+F24)</f>
        <v>8.0283446475775762</v>
      </c>
      <c r="H6" s="41">
        <f t="shared" ref="H6:S6" si="7">0.25*(H25+I24+H23+G24)</f>
        <v>8.0648681578145425</v>
      </c>
      <c r="I6" s="41">
        <f t="shared" si="7"/>
        <v>8.1180730072973564</v>
      </c>
      <c r="J6" s="41">
        <f t="shared" si="7"/>
        <v>8.1952171788887327</v>
      </c>
      <c r="K6" s="41">
        <f t="shared" si="7"/>
        <v>8.2968869507438043</v>
      </c>
      <c r="L6" s="41">
        <f t="shared" si="7"/>
        <v>8.4102906976953555</v>
      </c>
      <c r="M6" s="41">
        <f t="shared" si="7"/>
        <v>8.522149083936462</v>
      </c>
      <c r="N6" s="41">
        <f t="shared" si="7"/>
        <v>8.6241901291043916</v>
      </c>
      <c r="O6" s="41">
        <f t="shared" si="7"/>
        <v>8.7130063854824922</v>
      </c>
      <c r="P6" s="41">
        <f t="shared" si="7"/>
        <v>8.7884288156138464</v>
      </c>
      <c r="Q6" s="41">
        <f t="shared" si="7"/>
        <v>8.852108494813784</v>
      </c>
      <c r="R6" s="41">
        <f t="shared" si="7"/>
        <v>8.9066037783946648</v>
      </c>
      <c r="S6" s="41">
        <f t="shared" si="7"/>
        <v>8.9548687980446644</v>
      </c>
      <c r="T6" s="41">
        <f t="shared" si="5"/>
        <v>9</v>
      </c>
      <c r="U6" s="49">
        <f t="shared" si="6"/>
        <v>1.8</v>
      </c>
      <c r="V6" s="3">
        <v>10</v>
      </c>
      <c r="X6" s="65" t="s">
        <v>48</v>
      </c>
      <c r="Y6" s="41">
        <f>F10</f>
        <v>0</v>
      </c>
      <c r="Z6" s="41">
        <f t="shared" ref="Z6:AC6" si="8">G10</f>
        <v>0</v>
      </c>
      <c r="AA6" s="41">
        <f t="shared" si="8"/>
        <v>0</v>
      </c>
      <c r="AB6" s="41">
        <f t="shared" si="8"/>
        <v>0</v>
      </c>
      <c r="AC6" s="41">
        <f t="shared" si="8"/>
        <v>0</v>
      </c>
      <c r="AD6" s="41">
        <f>K11</f>
        <v>0</v>
      </c>
      <c r="AE6" s="41">
        <f>L12</f>
        <v>0</v>
      </c>
      <c r="AF6" s="41">
        <f>M13</f>
        <v>0</v>
      </c>
      <c r="AG6" s="41">
        <f>N14</f>
        <v>0</v>
      </c>
      <c r="AH6" s="41">
        <f>O15</f>
        <v>0</v>
      </c>
      <c r="AI6" s="41">
        <f t="shared" ref="AI6:AM6" si="9">P15</f>
        <v>0</v>
      </c>
      <c r="AJ6" s="41">
        <f t="shared" si="9"/>
        <v>0</v>
      </c>
      <c r="AK6" s="41">
        <f t="shared" si="9"/>
        <v>0</v>
      </c>
      <c r="AL6" s="41">
        <f t="shared" si="9"/>
        <v>0</v>
      </c>
      <c r="AM6" s="41">
        <f t="shared" si="9"/>
        <v>0</v>
      </c>
    </row>
    <row r="7" spans="1:39" ht="15" x14ac:dyDescent="0.25">
      <c r="A7" s="46"/>
      <c r="B7" s="47"/>
      <c r="C7" s="48"/>
      <c r="D7" s="7">
        <v>9</v>
      </c>
      <c r="E7" s="49">
        <f t="shared" si="2"/>
        <v>1.6</v>
      </c>
      <c r="F7" s="41">
        <f t="shared" si="3"/>
        <v>6</v>
      </c>
      <c r="G7" s="41">
        <f t="shared" ref="G7:S7" si="10">0.25*(G26+H25+G24+F25)</f>
        <v>6.0485104337996116</v>
      </c>
      <c r="H7" s="41">
        <f t="shared" si="10"/>
        <v>6.1130549792627988</v>
      </c>
      <c r="I7" s="41">
        <f t="shared" si="10"/>
        <v>6.2122066970587335</v>
      </c>
      <c r="J7" s="41">
        <f t="shared" si="10"/>
        <v>6.3659087645670134</v>
      </c>
      <c r="K7" s="41">
        <f t="shared" si="10"/>
        <v>6.582039935815394</v>
      </c>
      <c r="L7" s="41">
        <f t="shared" si="10"/>
        <v>6.8221267687261165</v>
      </c>
      <c r="M7" s="41">
        <f t="shared" si="10"/>
        <v>7.0541155235577797</v>
      </c>
      <c r="N7" s="41">
        <f t="shared" si="10"/>
        <v>7.2616050638939642</v>
      </c>
      <c r="O7" s="41">
        <f t="shared" si="10"/>
        <v>7.4394066140184556</v>
      </c>
      <c r="P7" s="41">
        <f t="shared" si="10"/>
        <v>7.5886003986738952</v>
      </c>
      <c r="Q7" s="41">
        <f t="shared" si="10"/>
        <v>7.7134013988153143</v>
      </c>
      <c r="R7" s="41">
        <f t="shared" si="10"/>
        <v>7.8194378309812489</v>
      </c>
      <c r="S7" s="41">
        <f t="shared" si="10"/>
        <v>7.9128714189986269</v>
      </c>
      <c r="T7" s="41">
        <f t="shared" si="5"/>
        <v>8</v>
      </c>
      <c r="U7" s="49">
        <f t="shared" si="6"/>
        <v>1.6</v>
      </c>
      <c r="V7" s="3">
        <v>9</v>
      </c>
      <c r="X7" s="65" t="s">
        <v>49</v>
      </c>
      <c r="Y7" s="43">
        <f>F46</f>
        <v>10</v>
      </c>
      <c r="Z7" s="43">
        <f t="shared" ref="Z7:AC7" si="11">G46</f>
        <v>10.177116888928248</v>
      </c>
      <c r="AA7" s="43">
        <f t="shared" si="11"/>
        <v>10.445257010076951</v>
      </c>
      <c r="AB7" s="43">
        <f t="shared" si="11"/>
        <v>10.970738001993556</v>
      </c>
      <c r="AC7" s="43">
        <f t="shared" si="11"/>
        <v>12.178744801215542</v>
      </c>
      <c r="AD7" s="43">
        <f>K47</f>
        <v>6.6371160641700362</v>
      </c>
      <c r="AE7" s="43">
        <f>L48</f>
        <v>5.0084558440859395</v>
      </c>
      <c r="AF7" s="43">
        <f>M49</f>
        <v>3.9931583970554505</v>
      </c>
      <c r="AG7" s="43">
        <f>N50</f>
        <v>3.1416986848708706</v>
      </c>
      <c r="AH7" s="43">
        <f>O51</f>
        <v>2.1832322132770687</v>
      </c>
      <c r="AI7" s="43">
        <f t="shared" ref="AI7:AM7" si="12">P51</f>
        <v>3.2800236595186902</v>
      </c>
      <c r="AJ7" s="43">
        <f t="shared" si="12"/>
        <v>3.930764322142978</v>
      </c>
      <c r="AK7" s="43">
        <f t="shared" si="12"/>
        <v>4.3713258009488056</v>
      </c>
      <c r="AL7" s="43">
        <f t="shared" si="12"/>
        <v>4.7077637257588139</v>
      </c>
      <c r="AM7" s="43">
        <f t="shared" si="12"/>
        <v>5</v>
      </c>
    </row>
    <row r="8" spans="1:39" ht="15" x14ac:dyDescent="0.25">
      <c r="A8" s="1" t="s">
        <v>42</v>
      </c>
      <c r="B8" s="37">
        <v>50</v>
      </c>
      <c r="D8" s="7">
        <v>8</v>
      </c>
      <c r="E8" s="49">
        <f t="shared" si="2"/>
        <v>1.4000000000000001</v>
      </c>
      <c r="F8" s="41">
        <f t="shared" si="3"/>
        <v>4</v>
      </c>
      <c r="G8" s="41">
        <f t="shared" ref="G8:S8" si="13">0.25*(G27+H26+G25+F26)</f>
        <v>4.052642110591008</v>
      </c>
      <c r="H8" s="41">
        <f t="shared" si="13"/>
        <v>4.1266346329950432</v>
      </c>
      <c r="I8" s="41">
        <f t="shared" si="13"/>
        <v>4.2517900451044142</v>
      </c>
      <c r="J8" s="41">
        <f t="shared" si="13"/>
        <v>4.4741712582104771</v>
      </c>
      <c r="K8" s="41">
        <f t="shared" si="13"/>
        <v>4.84323727649973</v>
      </c>
      <c r="L8" s="41">
        <f t="shared" si="13"/>
        <v>5.2420609398055493</v>
      </c>
      <c r="M8" s="41">
        <f t="shared" si="13"/>
        <v>5.6105812054478088</v>
      </c>
      <c r="N8" s="41">
        <f t="shared" si="13"/>
        <v>5.9287080190437429</v>
      </c>
      <c r="O8" s="41">
        <f t="shared" si="13"/>
        <v>6.1944146405138198</v>
      </c>
      <c r="P8" s="41">
        <f t="shared" si="13"/>
        <v>6.4131647960526799</v>
      </c>
      <c r="Q8" s="41">
        <f t="shared" si="13"/>
        <v>6.5934588972203922</v>
      </c>
      <c r="R8" s="41">
        <f t="shared" si="13"/>
        <v>6.7448747463244567</v>
      </c>
      <c r="S8" s="41">
        <f t="shared" si="13"/>
        <v>6.8771790571545433</v>
      </c>
      <c r="T8" s="41">
        <f t="shared" si="5"/>
        <v>7</v>
      </c>
      <c r="U8" s="49">
        <f t="shared" si="6"/>
        <v>1.4000000000000001</v>
      </c>
      <c r="V8" s="3">
        <v>8</v>
      </c>
      <c r="X8" s="65" t="s">
        <v>50</v>
      </c>
      <c r="Y8" s="43">
        <f>F63</f>
        <v>0</v>
      </c>
      <c r="Z8" s="43">
        <f t="shared" ref="Z8:AC8" si="14">G63</f>
        <v>0</v>
      </c>
      <c r="AA8" s="43">
        <f t="shared" si="14"/>
        <v>0</v>
      </c>
      <c r="AB8" s="43">
        <f t="shared" si="14"/>
        <v>0</v>
      </c>
      <c r="AC8" s="43">
        <f t="shared" si="14"/>
        <v>-3.3185580320850181</v>
      </c>
      <c r="AD8" s="43">
        <f>K64</f>
        <v>-5.0084558440859395</v>
      </c>
      <c r="AE8" s="43">
        <f>L65</f>
        <v>-3.9931583970554505</v>
      </c>
      <c r="AF8" s="43">
        <f>M66</f>
        <v>-3.1416986848708706</v>
      </c>
      <c r="AG8" s="43">
        <f>N67</f>
        <v>-2.1832322132770687</v>
      </c>
      <c r="AH8" s="43">
        <f>O68</f>
        <v>0</v>
      </c>
      <c r="AI8" s="43">
        <f t="shared" ref="AI8:AM8" si="15">P68</f>
        <v>0</v>
      </c>
      <c r="AJ8" s="43">
        <f t="shared" si="15"/>
        <v>0</v>
      </c>
      <c r="AK8" s="43">
        <f t="shared" si="15"/>
        <v>0</v>
      </c>
      <c r="AL8" s="43">
        <f t="shared" si="15"/>
        <v>0</v>
      </c>
      <c r="AM8" s="43">
        <f t="shared" si="15"/>
        <v>0</v>
      </c>
    </row>
    <row r="9" spans="1:39" x14ac:dyDescent="0.3">
      <c r="A9" s="46"/>
      <c r="B9" s="47"/>
      <c r="D9" s="7">
        <v>7</v>
      </c>
      <c r="E9" s="49">
        <f t="shared" si="2"/>
        <v>1.2000000000000002</v>
      </c>
      <c r="F9" s="41">
        <f>F10+$B$4*$B$2</f>
        <v>2</v>
      </c>
      <c r="G9" s="41">
        <f t="shared" ref="G9:S10" si="16">0.25*(G28+H27+G26+F27)</f>
        <v>2.0354233777856496</v>
      </c>
      <c r="H9" s="41">
        <f t="shared" si="16"/>
        <v>2.0890514020153903</v>
      </c>
      <c r="I9" s="41">
        <f t="shared" si="16"/>
        <v>2.1941476003987113</v>
      </c>
      <c r="J9" s="41">
        <f t="shared" si="16"/>
        <v>2.4357489602431084</v>
      </c>
      <c r="K9" s="41">
        <f t="shared" si="16"/>
        <v>3.074676992019016</v>
      </c>
      <c r="L9" s="41">
        <f t="shared" si="16"/>
        <v>3.6922985370198327</v>
      </c>
      <c r="M9" s="41">
        <f t="shared" si="16"/>
        <v>4.2174403738604589</v>
      </c>
      <c r="N9" s="41">
        <f t="shared" si="16"/>
        <v>4.6482312073751206</v>
      </c>
      <c r="O9" s="41">
        <f t="shared" si="16"/>
        <v>4.9963791745757975</v>
      </c>
      <c r="P9" s="41">
        <f t="shared" si="16"/>
        <v>5.2761852892360368</v>
      </c>
      <c r="Q9" s="41">
        <f t="shared" si="16"/>
        <v>5.5023946820119454</v>
      </c>
      <c r="R9" s="41">
        <f t="shared" si="16"/>
        <v>5.6894232260302546</v>
      </c>
      <c r="S9" s="41">
        <f t="shared" si="16"/>
        <v>5.8509700765901549</v>
      </c>
      <c r="T9" s="41">
        <f t="shared" si="5"/>
        <v>6</v>
      </c>
      <c r="U9" s="49">
        <f t="shared" si="6"/>
        <v>1.2000000000000002</v>
      </c>
      <c r="V9" s="3">
        <v>7</v>
      </c>
      <c r="X9" s="65" t="s">
        <v>56</v>
      </c>
      <c r="Y9" s="43">
        <f>F80</f>
        <v>10</v>
      </c>
      <c r="Z9" s="43">
        <f t="shared" ref="Z9:AC9" si="17">G80</f>
        <v>10.177116888928248</v>
      </c>
      <c r="AA9" s="43">
        <f t="shared" si="17"/>
        <v>10.445257010076951</v>
      </c>
      <c r="AB9" s="43">
        <f t="shared" si="17"/>
        <v>10.970738001993556</v>
      </c>
      <c r="AC9" s="43">
        <f t="shared" si="17"/>
        <v>12.622783066560663</v>
      </c>
      <c r="AD9" s="43">
        <f>K81</f>
        <v>8.3148024385082397</v>
      </c>
      <c r="AE9" s="43">
        <f>L82</f>
        <v>6.4054620384585101</v>
      </c>
      <c r="AF9" s="43">
        <f>M83</f>
        <v>5.0809039166760286</v>
      </c>
      <c r="AG9" s="43">
        <f>N84</f>
        <v>3.8258036441524341</v>
      </c>
      <c r="AH9" s="43">
        <f>O85</f>
        <v>2.1832322132770687</v>
      </c>
      <c r="AI9" s="43">
        <f t="shared" ref="AI9:AL9" si="18">P85</f>
        <v>3.2800236595186902</v>
      </c>
      <c r="AJ9" s="43">
        <f t="shared" si="18"/>
        <v>3.930764322142978</v>
      </c>
      <c r="AK9" s="43">
        <f t="shared" si="18"/>
        <v>4.3713258009488056</v>
      </c>
      <c r="AL9" s="43">
        <f t="shared" si="18"/>
        <v>4.7077637257588139</v>
      </c>
      <c r="AM9" s="43">
        <f>T85</f>
        <v>5</v>
      </c>
    </row>
    <row r="10" spans="1:39" ht="15" x14ac:dyDescent="0.25">
      <c r="A10" s="1" t="s">
        <v>43</v>
      </c>
      <c r="B10" s="37">
        <v>15</v>
      </c>
      <c r="D10" s="7">
        <v>6</v>
      </c>
      <c r="E10" s="49">
        <f t="shared" si="2"/>
        <v>1</v>
      </c>
      <c r="F10" s="41">
        <f>$B$14</f>
        <v>0</v>
      </c>
      <c r="G10" s="41">
        <f t="shared" ref="G10:T15" si="19">$B$14</f>
        <v>0</v>
      </c>
      <c r="H10" s="41">
        <f t="shared" si="19"/>
        <v>0</v>
      </c>
      <c r="I10" s="41">
        <f t="shared" si="19"/>
        <v>0</v>
      </c>
      <c r="J10" s="41">
        <f t="shared" si="19"/>
        <v>0</v>
      </c>
      <c r="K10" s="41">
        <f t="shared" si="16"/>
        <v>1.3274232128340073</v>
      </c>
      <c r="L10" s="41">
        <f t="shared" si="16"/>
        <v>2.2350158698467197</v>
      </c>
      <c r="M10" s="41">
        <f t="shared" ref="M10:N10" si="20">0.25*(M29+N28+M27+L28)</f>
        <v>2.9186505834830427</v>
      </c>
      <c r="N10" s="41">
        <f t="shared" si="20"/>
        <v>3.4503973053680688</v>
      </c>
      <c r="O10" s="41">
        <f t="shared" ref="O10:S10" si="21">0.25*(O29+P28+O27+N28)</f>
        <v>3.8666856094543394</v>
      </c>
      <c r="P10" s="41">
        <f t="shared" si="21"/>
        <v>4.1928025495248455</v>
      </c>
      <c r="Q10" s="41">
        <f t="shared" si="21"/>
        <v>4.4505113561934797</v>
      </c>
      <c r="R10" s="41">
        <f t="shared" si="21"/>
        <v>4.6594534280358202</v>
      </c>
      <c r="S10" s="41">
        <f t="shared" si="21"/>
        <v>4.8372780390322649</v>
      </c>
      <c r="T10" s="41">
        <f t="shared" si="5"/>
        <v>5</v>
      </c>
      <c r="U10" s="49">
        <f t="shared" si="6"/>
        <v>1</v>
      </c>
      <c r="V10" s="3">
        <v>6</v>
      </c>
      <c r="X10" s="65" t="s">
        <v>53</v>
      </c>
      <c r="Y10" s="3">
        <f>B5</f>
        <v>101325</v>
      </c>
      <c r="Z10" s="3">
        <f>(Y10+(Y9^2)/2)-(Z9^2)/2</f>
        <v>101323.21314591455</v>
      </c>
      <c r="AA10" s="3">
        <f t="shared" ref="AA10:AM10" si="22">(Z10+(Z9^2)/2)-(AA9^2)/2</f>
        <v>101320.44830299672</v>
      </c>
      <c r="AB10" s="3">
        <f t="shared" si="22"/>
        <v>101314.82145384581</v>
      </c>
      <c r="AC10" s="3">
        <f t="shared" si="22"/>
        <v>101295.33267382727</v>
      </c>
      <c r="AD10" s="3">
        <f t="shared" si="22"/>
        <v>101340.43203020429</v>
      </c>
      <c r="AE10" s="3">
        <f t="shared" si="22"/>
        <v>101354.48502803693</v>
      </c>
      <c r="AF10" s="3">
        <f t="shared" si="22"/>
        <v>101362.09220769475</v>
      </c>
      <c r="AG10" s="3">
        <f t="shared" si="22"/>
        <v>101367.68161323819</v>
      </c>
      <c r="AH10" s="3">
        <f t="shared" si="22"/>
        <v>101372.61674855146</v>
      </c>
      <c r="AI10" s="3">
        <f t="shared" si="22"/>
        <v>101369.6207223965</v>
      </c>
      <c r="AJ10" s="3">
        <f t="shared" si="22"/>
        <v>101367.27454592189</v>
      </c>
      <c r="AK10" s="3">
        <f t="shared" si="22"/>
        <v>101365.44575537098</v>
      </c>
      <c r="AL10" s="3">
        <f t="shared" si="22"/>
        <v>101363.91848035122</v>
      </c>
      <c r="AM10" s="3">
        <f t="shared" si="22"/>
        <v>101362.5</v>
      </c>
    </row>
    <row r="11" spans="1:39" ht="15" x14ac:dyDescent="0.25">
      <c r="A11" s="1" t="s">
        <v>44</v>
      </c>
      <c r="B11" s="37">
        <v>11</v>
      </c>
      <c r="D11" s="7">
        <v>5</v>
      </c>
      <c r="E11" s="49">
        <f t="shared" si="2"/>
        <v>0.8</v>
      </c>
      <c r="F11" s="56"/>
      <c r="G11" s="56"/>
      <c r="H11" s="56"/>
      <c r="I11" s="56"/>
      <c r="J11" s="56"/>
      <c r="K11" s="41">
        <f t="shared" si="19"/>
        <v>0</v>
      </c>
      <c r="L11" s="41">
        <f>0.25*(L30+M29+L28+K29)</f>
        <v>1.0016911688171879</v>
      </c>
      <c r="M11" s="41">
        <f t="shared" ref="M11:N11" si="23">0.25*(M30+N29+M28+L29)</f>
        <v>1.7717488176304177</v>
      </c>
      <c r="N11" s="41">
        <f t="shared" si="23"/>
        <v>2.3680218639131994</v>
      </c>
      <c r="O11" s="41">
        <f t="shared" ref="O11:S11" si="24">0.25*(O30+P29+O28+N29)</f>
        <v>2.8271634540635118</v>
      </c>
      <c r="P11" s="41">
        <f t="shared" si="24"/>
        <v>3.1778279901891406</v>
      </c>
      <c r="Q11" s="41">
        <f t="shared" si="24"/>
        <v>3.4473948048810472</v>
      </c>
      <c r="R11" s="41">
        <f t="shared" si="24"/>
        <v>3.6606011213990675</v>
      </c>
      <c r="S11" s="41">
        <f t="shared" si="24"/>
        <v>3.8386886671477884</v>
      </c>
      <c r="T11" s="41">
        <f t="shared" si="5"/>
        <v>4</v>
      </c>
      <c r="U11" s="49">
        <f t="shared" si="6"/>
        <v>0.8</v>
      </c>
      <c r="V11" s="3">
        <v>5</v>
      </c>
      <c r="X11" s="65" t="s">
        <v>4</v>
      </c>
      <c r="Y11" s="43">
        <f>(Y10-$B$5)/(($B$4^2)/2)</f>
        <v>0</v>
      </c>
      <c r="Z11" s="43">
        <f>(Z10-$B$5)/(($B$4^2)/2)</f>
        <v>-3.5737081709085031E-2</v>
      </c>
      <c r="AA11" s="43">
        <f t="shared" ref="AA11:AM11" si="25">(AA10-$B$5)/(($B$4^2)/2)</f>
        <v>-9.1033940065535723E-2</v>
      </c>
      <c r="AB11" s="43">
        <f t="shared" si="25"/>
        <v>-0.20357092308375285</v>
      </c>
      <c r="AC11" s="43">
        <f t="shared" si="25"/>
        <v>-0.59334652345452921</v>
      </c>
      <c r="AD11" s="43">
        <f t="shared" si="25"/>
        <v>0.30864060408581279</v>
      </c>
      <c r="AE11" s="43">
        <f t="shared" si="25"/>
        <v>0.58970056073856536</v>
      </c>
      <c r="AF11" s="43">
        <f t="shared" si="25"/>
        <v>0.74184415389492642</v>
      </c>
      <c r="AG11" s="43">
        <f t="shared" si="25"/>
        <v>0.85363226476387355</v>
      </c>
      <c r="AH11" s="43">
        <f t="shared" si="25"/>
        <v>0.95233497102919495</v>
      </c>
      <c r="AI11" s="43">
        <f t="shared" si="25"/>
        <v>0.89241444793005942</v>
      </c>
      <c r="AJ11" s="43">
        <f t="shared" si="25"/>
        <v>0.84549091843771751</v>
      </c>
      <c r="AK11" s="43">
        <f t="shared" si="25"/>
        <v>0.80891510741959793</v>
      </c>
      <c r="AL11" s="43">
        <f t="shared" si="25"/>
        <v>0.77836960702436042</v>
      </c>
      <c r="AM11" s="43">
        <f t="shared" si="25"/>
        <v>0.75</v>
      </c>
    </row>
    <row r="12" spans="1:39" ht="15" x14ac:dyDescent="0.25">
      <c r="A12" s="1" t="s">
        <v>45</v>
      </c>
      <c r="B12" s="37"/>
      <c r="D12" s="7">
        <v>4</v>
      </c>
      <c r="E12" s="49">
        <f t="shared" si="2"/>
        <v>0.60000000000000009</v>
      </c>
      <c r="F12" s="56"/>
      <c r="G12" s="56"/>
      <c r="H12" s="56"/>
      <c r="I12" s="56"/>
      <c r="J12" s="56"/>
      <c r="K12" s="56"/>
      <c r="L12" s="41">
        <f t="shared" si="19"/>
        <v>0</v>
      </c>
      <c r="M12" s="41">
        <f t="shared" ref="M12:N12" si="26">0.25*(M31+N30+M29+L30)</f>
        <v>0.79863167941109015</v>
      </c>
      <c r="N12" s="41">
        <f t="shared" si="26"/>
        <v>1.4227779125490176</v>
      </c>
      <c r="O12" s="41">
        <f t="shared" ref="O12:S12" si="27">0.25*(O31+P30+O29+N30)</f>
        <v>1.8961183939457682</v>
      </c>
      <c r="P12" s="41">
        <f t="shared" si="27"/>
        <v>2.2439511928440217</v>
      </c>
      <c r="Q12" s="41">
        <f t="shared" si="27"/>
        <v>2.5006387892120867</v>
      </c>
      <c r="R12" s="41">
        <f t="shared" si="27"/>
        <v>2.6968676125512392</v>
      </c>
      <c r="S12" s="41">
        <f t="shared" si="27"/>
        <v>2.8568755231356939</v>
      </c>
      <c r="T12" s="41">
        <f t="shared" si="5"/>
        <v>3</v>
      </c>
      <c r="U12" s="49">
        <f t="shared" si="6"/>
        <v>0.60000000000000009</v>
      </c>
      <c r="V12" s="3">
        <v>4</v>
      </c>
    </row>
    <row r="13" spans="1:39" ht="15" x14ac:dyDescent="0.25">
      <c r="A13" s="1" t="s">
        <v>46</v>
      </c>
      <c r="B13" s="37"/>
      <c r="D13" s="7">
        <v>3</v>
      </c>
      <c r="E13" s="49">
        <f t="shared" si="2"/>
        <v>0.4</v>
      </c>
      <c r="F13" s="56"/>
      <c r="G13" s="56"/>
      <c r="H13" s="56"/>
      <c r="I13" s="56"/>
      <c r="J13" s="56"/>
      <c r="K13" s="56"/>
      <c r="L13" s="56"/>
      <c r="M13" s="41">
        <f t="shared" si="19"/>
        <v>0</v>
      </c>
      <c r="N13" s="41">
        <f t="shared" ref="N13" si="28">0.25*(N32+O31+N30+M31)</f>
        <v>0.62833973697417411</v>
      </c>
      <c r="O13" s="41">
        <f t="shared" ref="O13:S13" si="29">0.25*(O32+P31+O30+N31)</f>
        <v>1.0905810464063928</v>
      </c>
      <c r="P13" s="41">
        <f t="shared" si="29"/>
        <v>1.4012196313641345</v>
      </c>
      <c r="Q13" s="41">
        <f t="shared" si="29"/>
        <v>1.6143415758555597</v>
      </c>
      <c r="R13" s="41">
        <f t="shared" si="29"/>
        <v>1.7693550394469417</v>
      </c>
      <c r="S13" s="41">
        <f t="shared" si="29"/>
        <v>1.8919458247517371</v>
      </c>
      <c r="T13" s="41">
        <f t="shared" si="5"/>
        <v>2</v>
      </c>
      <c r="U13" s="49">
        <f t="shared" si="6"/>
        <v>0.4</v>
      </c>
      <c r="V13" s="3">
        <v>3</v>
      </c>
    </row>
    <row r="14" spans="1:39" x14ac:dyDescent="0.3">
      <c r="A14" s="36" t="s">
        <v>48</v>
      </c>
      <c r="B14" s="37">
        <v>0</v>
      </c>
      <c r="D14" s="7">
        <v>2</v>
      </c>
      <c r="E14" s="49">
        <f>$B$2*(D14-1)</f>
        <v>0.2</v>
      </c>
      <c r="F14" s="56"/>
      <c r="G14" s="56"/>
      <c r="H14" s="56"/>
      <c r="I14" s="56"/>
      <c r="J14" s="56"/>
      <c r="K14" s="56"/>
      <c r="L14" s="56"/>
      <c r="M14" s="56"/>
      <c r="N14" s="41">
        <f t="shared" si="19"/>
        <v>0</v>
      </c>
      <c r="O14" s="41">
        <f t="shared" ref="O14:S14" si="30">0.25*(O33+P32+O31+N32)</f>
        <v>0.43664644265541375</v>
      </c>
      <c r="P14" s="41">
        <f t="shared" si="30"/>
        <v>0.65600473190373809</v>
      </c>
      <c r="Q14" s="41">
        <f t="shared" si="30"/>
        <v>0.78615286442859567</v>
      </c>
      <c r="R14" s="41">
        <f t="shared" si="30"/>
        <v>0.87426516018976119</v>
      </c>
      <c r="S14" s="41">
        <f t="shared" si="30"/>
        <v>0.9415527451517629</v>
      </c>
      <c r="T14" s="41">
        <f>T15+$B$6*$B$2</f>
        <v>1</v>
      </c>
      <c r="U14" s="49">
        <f>$B$2*(V14-1)</f>
        <v>0.2</v>
      </c>
      <c r="V14" s="3">
        <v>2</v>
      </c>
      <c r="X14" s="1" t="s">
        <v>55</v>
      </c>
      <c r="Y14" s="39">
        <v>1</v>
      </c>
      <c r="Z14" s="39">
        <v>2</v>
      </c>
      <c r="AA14" s="39">
        <v>3</v>
      </c>
      <c r="AB14" s="39">
        <v>4</v>
      </c>
      <c r="AC14" s="39">
        <v>5</v>
      </c>
      <c r="AD14" s="39">
        <v>6</v>
      </c>
      <c r="AE14" s="39">
        <v>7</v>
      </c>
      <c r="AF14" s="39">
        <v>8</v>
      </c>
      <c r="AG14" s="39">
        <v>9</v>
      </c>
      <c r="AH14" s="39">
        <v>10</v>
      </c>
      <c r="AI14" s="39">
        <v>11</v>
      </c>
      <c r="AJ14" s="39">
        <v>12</v>
      </c>
      <c r="AK14" s="39">
        <v>13</v>
      </c>
      <c r="AL14" s="39">
        <v>14</v>
      </c>
      <c r="AM14" s="39">
        <v>15</v>
      </c>
    </row>
    <row r="15" spans="1:39" x14ac:dyDescent="0.3">
      <c r="A15" s="35" t="s">
        <v>47</v>
      </c>
      <c r="D15" s="7">
        <v>1</v>
      </c>
      <c r="E15" s="49">
        <v>0</v>
      </c>
      <c r="F15" s="56"/>
      <c r="G15" s="56"/>
      <c r="H15" s="56"/>
      <c r="I15" s="56"/>
      <c r="J15" s="56"/>
      <c r="K15" s="56"/>
      <c r="L15" s="56"/>
      <c r="M15" s="56"/>
      <c r="N15" s="57"/>
      <c r="O15" s="64">
        <f t="shared" si="19"/>
        <v>0</v>
      </c>
      <c r="P15" s="64">
        <f t="shared" si="19"/>
        <v>0</v>
      </c>
      <c r="Q15" s="64">
        <f t="shared" si="19"/>
        <v>0</v>
      </c>
      <c r="R15" s="64">
        <f t="shared" si="19"/>
        <v>0</v>
      </c>
      <c r="S15" s="64">
        <f t="shared" si="19"/>
        <v>0</v>
      </c>
      <c r="T15" s="41">
        <f t="shared" si="19"/>
        <v>0</v>
      </c>
      <c r="U15" s="49">
        <v>0</v>
      </c>
      <c r="V15" s="3">
        <v>1</v>
      </c>
      <c r="X15" s="38" t="s">
        <v>51</v>
      </c>
      <c r="Y15" s="44">
        <f>$B$2*(Y14-1)</f>
        <v>0</v>
      </c>
      <c r="Z15" s="45">
        <f t="shared" ref="Z15:AM15" si="31">$B$2*(Z14-1)</f>
        <v>0.2</v>
      </c>
      <c r="AA15" s="45">
        <f t="shared" si="31"/>
        <v>0.4</v>
      </c>
      <c r="AB15" s="45">
        <f t="shared" si="31"/>
        <v>0.60000000000000009</v>
      </c>
      <c r="AC15" s="45">
        <f t="shared" si="31"/>
        <v>0.8</v>
      </c>
      <c r="AD15" s="45">
        <f t="shared" si="31"/>
        <v>1</v>
      </c>
      <c r="AE15" s="45">
        <f t="shared" si="31"/>
        <v>1.2000000000000002</v>
      </c>
      <c r="AF15" s="45">
        <f t="shared" si="31"/>
        <v>1.4000000000000001</v>
      </c>
      <c r="AG15" s="45">
        <f t="shared" si="31"/>
        <v>1.6</v>
      </c>
      <c r="AH15" s="45">
        <f t="shared" si="31"/>
        <v>1.8</v>
      </c>
      <c r="AI15" s="45">
        <f t="shared" si="31"/>
        <v>2</v>
      </c>
      <c r="AJ15" s="45">
        <f t="shared" si="31"/>
        <v>2.2000000000000002</v>
      </c>
      <c r="AK15" s="45">
        <f t="shared" si="31"/>
        <v>2.4000000000000004</v>
      </c>
      <c r="AL15" s="45">
        <f t="shared" si="31"/>
        <v>2.6</v>
      </c>
      <c r="AM15" s="45">
        <f t="shared" si="31"/>
        <v>2.8000000000000003</v>
      </c>
    </row>
    <row r="16" spans="1:39" ht="15" x14ac:dyDescent="0.25">
      <c r="D16" s="59"/>
      <c r="E16" s="60"/>
      <c r="F16" s="39">
        <f>$B$2*(F17-1)</f>
        <v>0</v>
      </c>
      <c r="G16" s="39">
        <f t="shared" ref="G16:T16" si="32">$B$2*(G17-1)</f>
        <v>0.2</v>
      </c>
      <c r="H16" s="39">
        <f t="shared" si="32"/>
        <v>0.4</v>
      </c>
      <c r="I16" s="39">
        <f t="shared" si="32"/>
        <v>0.60000000000000009</v>
      </c>
      <c r="J16" s="39">
        <f t="shared" si="32"/>
        <v>0.8</v>
      </c>
      <c r="K16" s="39">
        <f t="shared" si="32"/>
        <v>1</v>
      </c>
      <c r="L16" s="39">
        <f t="shared" si="32"/>
        <v>1.2000000000000002</v>
      </c>
      <c r="M16" s="39">
        <f t="shared" si="32"/>
        <v>1.4000000000000001</v>
      </c>
      <c r="N16" s="39">
        <f t="shared" si="32"/>
        <v>1.6</v>
      </c>
      <c r="O16" s="39">
        <f t="shared" si="32"/>
        <v>1.8</v>
      </c>
      <c r="P16" s="39">
        <f t="shared" si="32"/>
        <v>2</v>
      </c>
      <c r="Q16" s="39">
        <f t="shared" si="32"/>
        <v>2.2000000000000002</v>
      </c>
      <c r="R16" s="39">
        <f t="shared" si="32"/>
        <v>2.4000000000000004</v>
      </c>
      <c r="S16" s="39">
        <f t="shared" si="32"/>
        <v>2.6</v>
      </c>
      <c r="T16" s="39">
        <f t="shared" si="32"/>
        <v>2.8000000000000003</v>
      </c>
      <c r="U16" s="60"/>
      <c r="V16" s="62"/>
      <c r="X16" s="38" t="s">
        <v>52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0.8</v>
      </c>
      <c r="AE16" s="3">
        <v>0.6</v>
      </c>
      <c r="AF16" s="3">
        <v>0.4</v>
      </c>
      <c r="AG16" s="3">
        <v>0.2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</row>
    <row r="17" spans="4:39" x14ac:dyDescent="0.3">
      <c r="D17" s="61"/>
      <c r="E17" s="58"/>
      <c r="F17" s="3">
        <v>1</v>
      </c>
      <c r="G17" s="3">
        <v>2</v>
      </c>
      <c r="H17" s="3">
        <v>3</v>
      </c>
      <c r="I17" s="3">
        <v>4</v>
      </c>
      <c r="J17" s="3">
        <v>5</v>
      </c>
      <c r="K17" s="3">
        <v>6</v>
      </c>
      <c r="L17" s="3">
        <v>7</v>
      </c>
      <c r="M17" s="3">
        <v>8</v>
      </c>
      <c r="N17" s="3">
        <v>9</v>
      </c>
      <c r="O17" s="3">
        <v>10</v>
      </c>
      <c r="P17" s="3">
        <v>11</v>
      </c>
      <c r="Q17" s="3">
        <v>12</v>
      </c>
      <c r="R17" s="3">
        <v>13</v>
      </c>
      <c r="S17" s="3">
        <v>14</v>
      </c>
      <c r="T17" s="3">
        <v>15</v>
      </c>
      <c r="U17" s="61"/>
      <c r="V17" s="63"/>
      <c r="X17" s="65" t="s">
        <v>48</v>
      </c>
      <c r="Y17" s="41">
        <f>F5</f>
        <v>10</v>
      </c>
      <c r="Z17" s="41">
        <f t="shared" ref="Z17:AM17" si="33">G5</f>
        <v>10</v>
      </c>
      <c r="AA17" s="41">
        <f t="shared" si="33"/>
        <v>10</v>
      </c>
      <c r="AB17" s="41">
        <f t="shared" si="33"/>
        <v>10</v>
      </c>
      <c r="AC17" s="41">
        <f t="shared" si="33"/>
        <v>10</v>
      </c>
      <c r="AD17" s="41">
        <f t="shared" si="33"/>
        <v>10</v>
      </c>
      <c r="AE17" s="41">
        <f t="shared" si="33"/>
        <v>10</v>
      </c>
      <c r="AF17" s="41">
        <f t="shared" si="33"/>
        <v>10</v>
      </c>
      <c r="AG17" s="41">
        <f t="shared" si="33"/>
        <v>10</v>
      </c>
      <c r="AH17" s="41">
        <f t="shared" si="33"/>
        <v>10</v>
      </c>
      <c r="AI17" s="41">
        <f t="shared" si="33"/>
        <v>10</v>
      </c>
      <c r="AJ17" s="41">
        <f t="shared" si="33"/>
        <v>10</v>
      </c>
      <c r="AK17" s="41">
        <f t="shared" si="33"/>
        <v>10</v>
      </c>
      <c r="AL17" s="41">
        <f t="shared" si="33"/>
        <v>10</v>
      </c>
      <c r="AM17" s="41">
        <f t="shared" si="33"/>
        <v>10</v>
      </c>
    </row>
    <row r="18" spans="4:39" ht="15" x14ac:dyDescent="0.25">
      <c r="X18" s="65" t="s">
        <v>49</v>
      </c>
      <c r="Y18" s="43">
        <f>F41</f>
        <v>10</v>
      </c>
      <c r="Z18" s="43">
        <f t="shared" ref="Z18:AM18" si="34">G41</f>
        <v>9.8582767621121192</v>
      </c>
      <c r="AA18" s="43">
        <f t="shared" si="34"/>
        <v>9.6756592109272876</v>
      </c>
      <c r="AB18" s="43">
        <f>I41</f>
        <v>9.4096349635132182</v>
      </c>
      <c r="AC18" s="43">
        <f t="shared" si="34"/>
        <v>9.0239141055563366</v>
      </c>
      <c r="AD18" s="43">
        <f t="shared" si="34"/>
        <v>8.5155652462809783</v>
      </c>
      <c r="AE18" s="43">
        <f t="shared" si="34"/>
        <v>7.9485465115232223</v>
      </c>
      <c r="AF18" s="43">
        <f t="shared" si="34"/>
        <v>7.3892545803176901</v>
      </c>
      <c r="AG18" s="43">
        <f t="shared" si="34"/>
        <v>6.8790493544780418</v>
      </c>
      <c r="AH18" s="43">
        <f t="shared" si="34"/>
        <v>6.4349680725875391</v>
      </c>
      <c r="AI18" s="43">
        <f t="shared" si="34"/>
        <v>6.0578559219307682</v>
      </c>
      <c r="AJ18" s="43">
        <f t="shared" si="34"/>
        <v>5.7394575259310798</v>
      </c>
      <c r="AK18" s="43">
        <f t="shared" si="34"/>
        <v>5.4669811080266761</v>
      </c>
      <c r="AL18" s="43">
        <f t="shared" si="34"/>
        <v>5.225656009776678</v>
      </c>
      <c r="AM18" s="43">
        <f t="shared" si="34"/>
        <v>5</v>
      </c>
    </row>
    <row r="19" spans="4:39" ht="15" x14ac:dyDescent="0.25">
      <c r="X19" s="65" t="s">
        <v>50</v>
      </c>
      <c r="Y19" s="43">
        <f>F58</f>
        <v>0</v>
      </c>
      <c r="Z19" s="43">
        <f t="shared" ref="Z19:AM19" si="35">G58</f>
        <v>0</v>
      </c>
      <c r="AA19" s="43">
        <f t="shared" si="35"/>
        <v>0</v>
      </c>
      <c r="AB19" s="43">
        <f t="shared" si="35"/>
        <v>0</v>
      </c>
      <c r="AC19" s="43">
        <f t="shared" si="35"/>
        <v>0</v>
      </c>
      <c r="AD19" s="43">
        <f t="shared" si="35"/>
        <v>0</v>
      </c>
      <c r="AE19" s="43">
        <f t="shared" si="35"/>
        <v>0</v>
      </c>
      <c r="AF19" s="43">
        <f t="shared" si="35"/>
        <v>0</v>
      </c>
      <c r="AG19" s="43">
        <f t="shared" si="35"/>
        <v>0</v>
      </c>
      <c r="AH19" s="43">
        <f t="shared" si="35"/>
        <v>0</v>
      </c>
      <c r="AI19" s="43">
        <f t="shared" si="35"/>
        <v>0</v>
      </c>
      <c r="AJ19" s="43">
        <f t="shared" si="35"/>
        <v>0</v>
      </c>
      <c r="AK19" s="43">
        <f t="shared" si="35"/>
        <v>0</v>
      </c>
      <c r="AL19" s="43">
        <f t="shared" si="35"/>
        <v>0</v>
      </c>
      <c r="AM19" s="43">
        <f t="shared" si="35"/>
        <v>0</v>
      </c>
    </row>
    <row r="20" spans="4:39" x14ac:dyDescent="0.3">
      <c r="X20" s="65" t="s">
        <v>58</v>
      </c>
      <c r="Y20" s="43">
        <f>F75</f>
        <v>10</v>
      </c>
      <c r="Z20" s="43">
        <f t="shared" ref="Z20:AM20" si="36">G75</f>
        <v>9.8582767621121192</v>
      </c>
      <c r="AA20" s="43">
        <f t="shared" si="36"/>
        <v>9.6756592109272876</v>
      </c>
      <c r="AB20" s="43">
        <f t="shared" si="36"/>
        <v>9.4096349635132182</v>
      </c>
      <c r="AC20" s="43">
        <f t="shared" si="36"/>
        <v>9.0239141055563366</v>
      </c>
      <c r="AD20" s="43">
        <f t="shared" si="36"/>
        <v>8.5155652462809783</v>
      </c>
      <c r="AE20" s="43">
        <f t="shared" si="36"/>
        <v>7.9485465115232223</v>
      </c>
      <c r="AF20" s="43">
        <f t="shared" si="36"/>
        <v>7.3892545803176901</v>
      </c>
      <c r="AG20" s="43">
        <f t="shared" si="36"/>
        <v>6.8790493544780418</v>
      </c>
      <c r="AH20" s="43">
        <f t="shared" si="36"/>
        <v>6.4349680725875391</v>
      </c>
      <c r="AI20" s="43">
        <f t="shared" si="36"/>
        <v>6.0578559219307682</v>
      </c>
      <c r="AJ20" s="43">
        <f t="shared" si="36"/>
        <v>5.7394575259310798</v>
      </c>
      <c r="AK20" s="43">
        <f t="shared" si="36"/>
        <v>5.4669811080266761</v>
      </c>
      <c r="AL20" s="43">
        <f t="shared" si="36"/>
        <v>5.225656009776678</v>
      </c>
      <c r="AM20" s="43">
        <f t="shared" si="36"/>
        <v>5</v>
      </c>
    </row>
    <row r="21" spans="4:39" x14ac:dyDescent="0.3">
      <c r="D21" s="84" t="s">
        <v>48</v>
      </c>
      <c r="E21" s="85"/>
      <c r="F21" s="3">
        <v>1</v>
      </c>
      <c r="G21" s="3">
        <v>2</v>
      </c>
      <c r="H21" s="3">
        <v>3</v>
      </c>
      <c r="I21" s="3">
        <v>4</v>
      </c>
      <c r="J21" s="3">
        <v>5</v>
      </c>
      <c r="K21" s="3">
        <v>6</v>
      </c>
      <c r="L21" s="3">
        <v>7</v>
      </c>
      <c r="M21" s="3">
        <v>8</v>
      </c>
      <c r="N21" s="3">
        <v>9</v>
      </c>
      <c r="O21" s="3">
        <v>10</v>
      </c>
      <c r="P21" s="3">
        <v>11</v>
      </c>
      <c r="Q21" s="3">
        <v>12</v>
      </c>
      <c r="R21" s="3">
        <v>13</v>
      </c>
      <c r="S21" s="3">
        <v>14</v>
      </c>
      <c r="T21" s="3">
        <v>15</v>
      </c>
      <c r="U21" s="59"/>
      <c r="V21" s="62"/>
      <c r="X21" s="65" t="s">
        <v>53</v>
      </c>
      <c r="Y21" s="3">
        <f>B5</f>
        <v>101325</v>
      </c>
      <c r="Z21" s="3">
        <f>(Y21+(Y20^2)/2)-(Z20^2)/2</f>
        <v>101326.4071896408</v>
      </c>
      <c r="AA21" s="3">
        <f t="shared" ref="AA21" si="37">(Z21+(Z20^2)/2)-(AA20^2)/2</f>
        <v>101328.19080941699</v>
      </c>
      <c r="AB21" s="3">
        <f t="shared" ref="AB21" si="38">(AA21+(AA20^2)/2)-(AB20^2)/2</f>
        <v>101330.72938492672</v>
      </c>
      <c r="AC21" s="3">
        <f t="shared" ref="AC21" si="39">(AB21+(AB20^2)/2)-(AC20^2)/2</f>
        <v>101334.28448710777</v>
      </c>
      <c r="AD21" s="3">
        <f t="shared" ref="AD21" si="40">(AC21+(AC20^2)/2)-(AD20^2)/2</f>
        <v>101338.74257426817</v>
      </c>
      <c r="AE21" s="3">
        <f t="shared" ref="AE21" si="41">(AD21+(AD20^2)/2)-(AE20^2)/2</f>
        <v>101343.41030417707</v>
      </c>
      <c r="AF21" s="3">
        <f t="shared" ref="AF21" si="42">(AE21+(AE20^2)/2)-(AF20^2)/2</f>
        <v>101347.69945837362</v>
      </c>
      <c r="AG21" s="3">
        <f t="shared" ref="AG21" si="43">(AF21+(AF20^2)/2)-(AG20^2)/2</f>
        <v>101351.33933998932</v>
      </c>
      <c r="AH21" s="3">
        <f>(AG21+(AG20^2)/2)-(AH20^2)/2</f>
        <v>101354.29559295239</v>
      </c>
      <c r="AI21" s="3">
        <f t="shared" ref="AI21" si="44">(AH21+(AH20^2)/2)-(AI20^2)/2</f>
        <v>101356.65119081456</v>
      </c>
      <c r="AJ21" s="3">
        <f t="shared" ref="AJ21" si="45">(AI21+(AI20^2)/2)-(AJ20^2)/2</f>
        <v>101358.52931365401</v>
      </c>
      <c r="AK21" s="3">
        <f t="shared" ref="AK21" si="46">(AJ21+(AJ20^2)/2)-(AK20^2)/2</f>
        <v>101360.05605878224</v>
      </c>
      <c r="AL21" s="3">
        <f t="shared" ref="AL21" si="47">(AK21+(AK20^2)/2)-(AL20^2)/2</f>
        <v>101361.34625963375</v>
      </c>
      <c r="AM21" s="3">
        <f t="shared" ref="AM21" si="48">(AL21+(AL20^2)/2)-(AM20^2)/2</f>
        <v>101362.5</v>
      </c>
    </row>
    <row r="22" spans="4:39" x14ac:dyDescent="0.3">
      <c r="D22" s="86"/>
      <c r="E22" s="87"/>
      <c r="F22" s="39">
        <f>$B$2*(F21-1)</f>
        <v>0</v>
      </c>
      <c r="G22" s="39">
        <f t="shared" ref="G22" si="49">$B$2*(G21-1)</f>
        <v>0.2</v>
      </c>
      <c r="H22" s="39">
        <f t="shared" ref="H22" si="50">$B$2*(H21-1)</f>
        <v>0.4</v>
      </c>
      <c r="I22" s="39">
        <f t="shared" ref="I22" si="51">$B$2*(I21-1)</f>
        <v>0.60000000000000009</v>
      </c>
      <c r="J22" s="39">
        <f t="shared" ref="J22" si="52">$B$2*(J21-1)</f>
        <v>0.8</v>
      </c>
      <c r="K22" s="39">
        <f t="shared" ref="K22" si="53">$B$2*(K21-1)</f>
        <v>1</v>
      </c>
      <c r="L22" s="39">
        <f t="shared" ref="L22" si="54">$B$2*(L21-1)</f>
        <v>1.2000000000000002</v>
      </c>
      <c r="M22" s="39">
        <f t="shared" ref="M22" si="55">$B$2*(M21-1)</f>
        <v>1.4000000000000001</v>
      </c>
      <c r="N22" s="39">
        <f t="shared" ref="N22" si="56">$B$2*(N21-1)</f>
        <v>1.6</v>
      </c>
      <c r="O22" s="39">
        <f t="shared" ref="O22" si="57">$B$2*(O21-1)</f>
        <v>1.8</v>
      </c>
      <c r="P22" s="39">
        <f t="shared" ref="P22" si="58">$B$2*(P21-1)</f>
        <v>2</v>
      </c>
      <c r="Q22" s="39">
        <f t="shared" ref="Q22" si="59">$B$2*(Q21-1)</f>
        <v>2.2000000000000002</v>
      </c>
      <c r="R22" s="39">
        <f t="shared" ref="R22" si="60">$B$2*(R21-1)</f>
        <v>2.4000000000000004</v>
      </c>
      <c r="S22" s="39">
        <f t="shared" ref="S22" si="61">$B$2*(S21-1)</f>
        <v>2.6</v>
      </c>
      <c r="T22" s="39">
        <f t="shared" ref="T22" si="62">$B$2*(T21-1)</f>
        <v>2.8000000000000003</v>
      </c>
      <c r="U22" s="60"/>
      <c r="V22" s="63"/>
      <c r="X22" s="65" t="s">
        <v>4</v>
      </c>
      <c r="Y22" s="43">
        <f>(Y21-$B$5)/(($B$4^2)/2)</f>
        <v>0</v>
      </c>
      <c r="Z22" s="43">
        <f>(Z21-$B$5)/(($B$4^2)/2)</f>
        <v>2.8143792815972121E-2</v>
      </c>
      <c r="AA22" s="43">
        <f t="shared" ref="AA22" si="63">(AA21-$B$5)/(($B$4^2)/2)</f>
        <v>6.3816188339842483E-2</v>
      </c>
      <c r="AB22" s="43">
        <f t="shared" ref="AB22" si="64">(AB21-$B$5)/(($B$4^2)/2)</f>
        <v>0.11458769853430567</v>
      </c>
      <c r="AC22" s="43">
        <f t="shared" ref="AC22" si="65">(AC21-$B$5)/(($B$4^2)/2)</f>
        <v>0.18568974215537309</v>
      </c>
      <c r="AD22" s="43">
        <f t="shared" ref="AD22" si="66">(AD21-$B$5)/(($B$4^2)/2)</f>
        <v>0.27485148536332416</v>
      </c>
      <c r="AE22" s="43">
        <f t="shared" ref="AE22" si="67">(AE21-$B$5)/(($B$4^2)/2)</f>
        <v>0.36820608354144496</v>
      </c>
      <c r="AF22" s="43">
        <f t="shared" ref="AF22" si="68">(AF21-$B$5)/(($B$4^2)/2)</f>
        <v>0.45398916747246404</v>
      </c>
      <c r="AG22" s="43">
        <f t="shared" ref="AG22" si="69">(AG21-$B$5)/(($B$4^2)/2)</f>
        <v>0.52678679978649601</v>
      </c>
      <c r="AH22" s="43">
        <f t="shared" ref="AH22" si="70">(AH21-$B$5)/(($B$4^2)/2)</f>
        <v>0.58591185904777376</v>
      </c>
      <c r="AI22" s="43">
        <f t="shared" ref="AI22" si="71">(AI21-$B$5)/(($B$4^2)/2)</f>
        <v>0.63302381629124282</v>
      </c>
      <c r="AJ22" s="43">
        <f t="shared" ref="AJ22" si="72">(AJ21-$B$5)/(($B$4^2)/2)</f>
        <v>0.67058627308026186</v>
      </c>
      <c r="AK22" s="43">
        <f t="shared" ref="AK22" si="73">(AK21-$B$5)/(($B$4^2)/2)</f>
        <v>0.70112117564480281</v>
      </c>
      <c r="AL22" s="43">
        <f t="shared" ref="AL22" si="74">(AL21-$B$5)/(($B$4^2)/2)</f>
        <v>0.72692519267497113</v>
      </c>
      <c r="AM22" s="43">
        <f t="shared" ref="AM22" si="75">(AM21-$B$5)/(($B$4^2)/2)</f>
        <v>0.75</v>
      </c>
    </row>
    <row r="23" spans="4:39" ht="15" x14ac:dyDescent="0.25">
      <c r="D23" s="7">
        <v>11</v>
      </c>
      <c r="E23" s="49">
        <f t="shared" ref="E23:E31" si="76">$B$2*(D23-1)</f>
        <v>2</v>
      </c>
      <c r="F23" s="40">
        <v>10</v>
      </c>
      <c r="G23" s="40">
        <v>10</v>
      </c>
      <c r="H23" s="40">
        <v>10</v>
      </c>
      <c r="I23" s="40">
        <v>10</v>
      </c>
      <c r="J23" s="40">
        <v>10</v>
      </c>
      <c r="K23" s="40">
        <v>10</v>
      </c>
      <c r="L23" s="40">
        <v>10</v>
      </c>
      <c r="M23" s="40">
        <v>10</v>
      </c>
      <c r="N23" s="40">
        <v>10</v>
      </c>
      <c r="O23" s="40">
        <v>10</v>
      </c>
      <c r="P23" s="40">
        <v>10</v>
      </c>
      <c r="Q23" s="40">
        <v>10</v>
      </c>
      <c r="R23" s="40">
        <v>10</v>
      </c>
      <c r="S23" s="40">
        <v>10</v>
      </c>
      <c r="T23" s="40">
        <v>10</v>
      </c>
      <c r="U23" s="49">
        <f t="shared" ref="U23:U31" si="77">$B$2*(V23-1)</f>
        <v>2</v>
      </c>
      <c r="V23" s="3">
        <v>11</v>
      </c>
    </row>
    <row r="24" spans="4:39" ht="15" x14ac:dyDescent="0.25">
      <c r="D24" s="7">
        <v>10</v>
      </c>
      <c r="E24" s="49">
        <f t="shared" si="76"/>
        <v>1.8</v>
      </c>
      <c r="F24" s="40">
        <v>8</v>
      </c>
      <c r="G24" s="41">
        <v>8.0283446472197699</v>
      </c>
      <c r="H24" s="41">
        <v>8.0648681570801628</v>
      </c>
      <c r="I24" s="41">
        <v>8.1180730060425361</v>
      </c>
      <c r="J24" s="41">
        <v>8.1952171770899298</v>
      </c>
      <c r="K24" s="41">
        <v>8.2968869481575709</v>
      </c>
      <c r="L24" s="41">
        <v>8.410290694475588</v>
      </c>
      <c r="M24" s="41">
        <v>8.5221490799266881</v>
      </c>
      <c r="N24" s="41">
        <v>8.6241901247955397</v>
      </c>
      <c r="O24" s="41">
        <v>8.7130063808703486</v>
      </c>
      <c r="P24" s="41">
        <v>8.788428811402051</v>
      </c>
      <c r="Q24" s="41">
        <v>8.852108491090231</v>
      </c>
      <c r="R24" s="41">
        <v>8.9066037757777732</v>
      </c>
      <c r="S24" s="41">
        <v>8.9548687966136509</v>
      </c>
      <c r="T24" s="40">
        <v>9</v>
      </c>
      <c r="U24" s="49">
        <f t="shared" si="77"/>
        <v>1.8</v>
      </c>
      <c r="V24" s="3">
        <v>10</v>
      </c>
    </row>
    <row r="25" spans="4:39" ht="15" x14ac:dyDescent="0.25">
      <c r="D25" s="7">
        <v>9</v>
      </c>
      <c r="E25" s="49">
        <f t="shared" si="76"/>
        <v>1.6</v>
      </c>
      <c r="F25" s="40">
        <v>6</v>
      </c>
      <c r="G25" s="41">
        <v>6.0485104332301409</v>
      </c>
      <c r="H25" s="41">
        <v>6.1130549779958621</v>
      </c>
      <c r="I25" s="41">
        <v>6.2122066950193329</v>
      </c>
      <c r="J25" s="41">
        <v>6.3659087613548193</v>
      </c>
      <c r="K25" s="41">
        <v>6.5820399314096978</v>
      </c>
      <c r="L25" s="41">
        <v>6.8221267626971596</v>
      </c>
      <c r="M25" s="41">
        <v>7.0541155164747193</v>
      </c>
      <c r="N25" s="41">
        <v>7.2616050556205334</v>
      </c>
      <c r="O25" s="41">
        <v>7.4394066057323798</v>
      </c>
      <c r="P25" s="41">
        <v>7.5886003904948094</v>
      </c>
      <c r="Q25" s="41">
        <v>7.7134013920753137</v>
      </c>
      <c r="R25" s="41">
        <v>7.8194378258747772</v>
      </c>
      <c r="S25" s="41">
        <v>7.9128714164008844</v>
      </c>
      <c r="T25" s="40">
        <v>8</v>
      </c>
      <c r="U25" s="49">
        <f t="shared" si="77"/>
        <v>1.6</v>
      </c>
      <c r="V25" s="3">
        <v>9</v>
      </c>
    </row>
    <row r="26" spans="4:39" ht="15" x14ac:dyDescent="0.25">
      <c r="D26" s="7">
        <v>8</v>
      </c>
      <c r="E26" s="49">
        <f t="shared" si="76"/>
        <v>1.4000000000000001</v>
      </c>
      <c r="F26" s="40">
        <v>4</v>
      </c>
      <c r="G26" s="41">
        <v>4.0526421099828136</v>
      </c>
      <c r="H26" s="41">
        <v>4.1266346317215579</v>
      </c>
      <c r="I26" s="41">
        <v>4.2517900428417148</v>
      </c>
      <c r="J26" s="41">
        <v>4.4741712547490931</v>
      </c>
      <c r="K26" s="41">
        <v>4.8432372710520273</v>
      </c>
      <c r="L26" s="41">
        <v>5.2420609325444625</v>
      </c>
      <c r="M26" s="41">
        <v>5.6105811959867378</v>
      </c>
      <c r="N26" s="41">
        <v>5.9287080085732171</v>
      </c>
      <c r="O26" s="41">
        <v>6.1944146290881283</v>
      </c>
      <c r="P26" s="41">
        <v>6.4131647854858347</v>
      </c>
      <c r="Q26" s="41">
        <v>6.593458887801436</v>
      </c>
      <c r="R26" s="41">
        <v>6.7448747396710287</v>
      </c>
      <c r="S26" s="41">
        <v>6.8771790535060759</v>
      </c>
      <c r="T26" s="40">
        <v>7</v>
      </c>
      <c r="U26" s="49">
        <f t="shared" si="77"/>
        <v>1.4000000000000001</v>
      </c>
      <c r="V26" s="3">
        <v>8</v>
      </c>
    </row>
    <row r="27" spans="4:39" ht="15" x14ac:dyDescent="0.25">
      <c r="D27" s="7">
        <v>7</v>
      </c>
      <c r="E27" s="49">
        <f t="shared" si="76"/>
        <v>1.2000000000000002</v>
      </c>
      <c r="F27" s="40">
        <v>2</v>
      </c>
      <c r="G27" s="41">
        <v>2.0354233774123331</v>
      </c>
      <c r="H27" s="41">
        <v>2.089051401159784</v>
      </c>
      <c r="I27" s="41">
        <v>2.1941475989276706</v>
      </c>
      <c r="J27" s="41">
        <v>2.4357489575933466</v>
      </c>
      <c r="K27" s="41">
        <v>3.074676987295669</v>
      </c>
      <c r="L27" s="41">
        <v>3.6922985294862714</v>
      </c>
      <c r="M27" s="41">
        <v>4.2174403641988381</v>
      </c>
      <c r="N27" s="41">
        <v>4.6482311954795676</v>
      </c>
      <c r="O27" s="41">
        <v>4.996379162263846</v>
      </c>
      <c r="P27" s="41">
        <v>5.276185276826344</v>
      </c>
      <c r="Q27" s="41">
        <v>5.5023946716493919</v>
      </c>
      <c r="R27" s="41">
        <v>5.689423218115536</v>
      </c>
      <c r="S27" s="41">
        <v>5.8509700725462563</v>
      </c>
      <c r="T27" s="40">
        <v>6</v>
      </c>
      <c r="U27" s="49">
        <f t="shared" si="77"/>
        <v>1.2000000000000002</v>
      </c>
      <c r="V27" s="3">
        <v>7</v>
      </c>
    </row>
    <row r="28" spans="4:39" ht="15" x14ac:dyDescent="0.25">
      <c r="D28" s="7">
        <v>6</v>
      </c>
      <c r="E28" s="49">
        <f t="shared" si="76"/>
        <v>1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1.3274232099444183</v>
      </c>
      <c r="L28" s="40">
        <v>2.2350158640403603</v>
      </c>
      <c r="M28" s="40">
        <v>2.9186505744892575</v>
      </c>
      <c r="N28" s="40">
        <v>3.4503972944645813</v>
      </c>
      <c r="O28" s="40">
        <v>3.8666855969091509</v>
      </c>
      <c r="P28" s="40">
        <v>4.1928025375450764</v>
      </c>
      <c r="Q28" s="40">
        <v>4.4505113453044656</v>
      </c>
      <c r="R28" s="40">
        <v>4.6594534202543425</v>
      </c>
      <c r="S28" s="40">
        <v>4.8372780347390067</v>
      </c>
      <c r="T28" s="40">
        <v>5</v>
      </c>
      <c r="U28" s="49">
        <f t="shared" si="77"/>
        <v>1</v>
      </c>
      <c r="V28" s="3">
        <v>6</v>
      </c>
    </row>
    <row r="29" spans="4:39" ht="15" x14ac:dyDescent="0.25">
      <c r="D29" s="7">
        <v>5</v>
      </c>
      <c r="E29" s="49">
        <f t="shared" si="76"/>
        <v>0.8</v>
      </c>
      <c r="F29" s="56"/>
      <c r="G29" s="56"/>
      <c r="H29" s="56"/>
      <c r="I29" s="56"/>
      <c r="J29" s="56"/>
      <c r="K29" s="40">
        <v>0</v>
      </c>
      <c r="L29" s="41">
        <v>1.0016911654669314</v>
      </c>
      <c r="M29" s="41">
        <v>1.7717488112283912</v>
      </c>
      <c r="N29" s="41">
        <v>2.368021854594299</v>
      </c>
      <c r="O29" s="40">
        <v>2.8271634435438546</v>
      </c>
      <c r="P29" s="40">
        <v>3.1778279790594235</v>
      </c>
      <c r="Q29" s="40">
        <v>3.447394795325109</v>
      </c>
      <c r="R29" s="40">
        <v>3.6606011139842729</v>
      </c>
      <c r="S29" s="40">
        <v>3.8386886633284627</v>
      </c>
      <c r="T29" s="40">
        <v>4</v>
      </c>
      <c r="U29" s="49">
        <f t="shared" si="77"/>
        <v>0.8</v>
      </c>
      <c r="V29" s="3">
        <v>5</v>
      </c>
    </row>
    <row r="30" spans="4:39" ht="15" x14ac:dyDescent="0.25">
      <c r="D30" s="7">
        <v>4</v>
      </c>
      <c r="E30" s="49">
        <f t="shared" si="76"/>
        <v>0.60000000000000009</v>
      </c>
      <c r="F30" s="56"/>
      <c r="G30" s="56"/>
      <c r="H30" s="56"/>
      <c r="I30" s="56"/>
      <c r="J30" s="56"/>
      <c r="K30" s="56"/>
      <c r="L30" s="40">
        <v>0</v>
      </c>
      <c r="M30" s="41">
        <v>0.79863167597118334</v>
      </c>
      <c r="N30" s="41">
        <v>1.4227779064159696</v>
      </c>
      <c r="O30" s="40">
        <v>1.8961183856911745</v>
      </c>
      <c r="P30" s="40">
        <v>2.2439511843425217</v>
      </c>
      <c r="Q30" s="40">
        <v>2.5006387811760287</v>
      </c>
      <c r="R30" s="40">
        <v>2.6968676066883539</v>
      </c>
      <c r="S30" s="40">
        <v>2.8568755198678737</v>
      </c>
      <c r="T30" s="40">
        <v>3</v>
      </c>
      <c r="U30" s="49">
        <f t="shared" si="77"/>
        <v>0.60000000000000009</v>
      </c>
      <c r="V30" s="3">
        <v>4</v>
      </c>
    </row>
    <row r="31" spans="4:39" ht="15" x14ac:dyDescent="0.25">
      <c r="D31" s="7">
        <v>3</v>
      </c>
      <c r="E31" s="49">
        <f t="shared" si="76"/>
        <v>0.4</v>
      </c>
      <c r="F31" s="56"/>
      <c r="G31" s="56"/>
      <c r="H31" s="56"/>
      <c r="I31" s="56"/>
      <c r="J31" s="56"/>
      <c r="K31" s="56"/>
      <c r="L31" s="56"/>
      <c r="M31" s="40">
        <v>0</v>
      </c>
      <c r="N31" s="41">
        <v>0.62833973393941411</v>
      </c>
      <c r="O31" s="40">
        <v>1.0905810414807267</v>
      </c>
      <c r="P31" s="40">
        <v>1.4012196254494591</v>
      </c>
      <c r="Q31" s="40">
        <v>1.6143415704923618</v>
      </c>
      <c r="R31" s="40">
        <v>1.7693550351767817</v>
      </c>
      <c r="S31" s="40">
        <v>1.8919458225259589</v>
      </c>
      <c r="T31" s="40">
        <v>2</v>
      </c>
      <c r="U31" s="49">
        <f t="shared" si="77"/>
        <v>0.4</v>
      </c>
      <c r="V31" s="3">
        <v>3</v>
      </c>
    </row>
    <row r="32" spans="4:39" x14ac:dyDescent="0.3">
      <c r="D32" s="7">
        <v>2</v>
      </c>
      <c r="E32" s="49">
        <f>$B$2*(D32-1)</f>
        <v>0.2</v>
      </c>
      <c r="F32" s="56"/>
      <c r="G32" s="56"/>
      <c r="H32" s="56"/>
      <c r="I32" s="56"/>
      <c r="J32" s="56"/>
      <c r="K32" s="56"/>
      <c r="L32" s="56"/>
      <c r="M32" s="56"/>
      <c r="N32" s="40">
        <v>0</v>
      </c>
      <c r="O32" s="40">
        <v>0.4366464405455231</v>
      </c>
      <c r="P32" s="40">
        <v>0.65600472914092833</v>
      </c>
      <c r="Q32" s="40">
        <v>0.78615286161997</v>
      </c>
      <c r="R32" s="40">
        <v>0.8742651580810924</v>
      </c>
      <c r="S32" s="40">
        <v>0.94155274396229305</v>
      </c>
      <c r="T32" s="40">
        <v>1</v>
      </c>
      <c r="U32" s="49">
        <f>$B$2*(V32-1)</f>
        <v>0.2</v>
      </c>
      <c r="V32" s="3">
        <v>2</v>
      </c>
    </row>
    <row r="33" spans="4:22" x14ac:dyDescent="0.3">
      <c r="D33" s="7">
        <v>1</v>
      </c>
      <c r="E33" s="49">
        <v>0</v>
      </c>
      <c r="F33" s="56"/>
      <c r="G33" s="56"/>
      <c r="H33" s="56"/>
      <c r="I33" s="56"/>
      <c r="J33" s="56"/>
      <c r="K33" s="56"/>
      <c r="L33" s="56"/>
      <c r="M33" s="56"/>
      <c r="N33" s="57"/>
      <c r="O33" s="55">
        <v>0</v>
      </c>
      <c r="P33" s="40">
        <v>0</v>
      </c>
      <c r="Q33" s="40">
        <v>0</v>
      </c>
      <c r="R33" s="40">
        <v>0</v>
      </c>
      <c r="S33" s="40">
        <v>0</v>
      </c>
      <c r="T33" s="40">
        <v>0</v>
      </c>
      <c r="U33" s="49">
        <v>0</v>
      </c>
      <c r="V33" s="3">
        <v>1</v>
      </c>
    </row>
    <row r="34" spans="4:22" x14ac:dyDescent="0.3">
      <c r="D34" s="59"/>
      <c r="E34" s="60"/>
      <c r="F34" s="39">
        <f>$B$2*(F35-1)</f>
        <v>0</v>
      </c>
      <c r="G34" s="39">
        <f t="shared" ref="G34" si="78">$B$2*(G35-1)</f>
        <v>0.2</v>
      </c>
      <c r="H34" s="39">
        <f t="shared" ref="H34" si="79">$B$2*(H35-1)</f>
        <v>0.4</v>
      </c>
      <c r="I34" s="39">
        <f t="shared" ref="I34" si="80">$B$2*(I35-1)</f>
        <v>0.60000000000000009</v>
      </c>
      <c r="J34" s="39">
        <f t="shared" ref="J34" si="81">$B$2*(J35-1)</f>
        <v>0.8</v>
      </c>
      <c r="K34" s="39">
        <f t="shared" ref="K34" si="82">$B$2*(K35-1)</f>
        <v>1</v>
      </c>
      <c r="L34" s="39">
        <f t="shared" ref="L34" si="83">$B$2*(L35-1)</f>
        <v>1.2000000000000002</v>
      </c>
      <c r="M34" s="39">
        <f t="shared" ref="M34" si="84">$B$2*(M35-1)</f>
        <v>1.4000000000000001</v>
      </c>
      <c r="N34" s="39">
        <f t="shared" ref="N34" si="85">$B$2*(N35-1)</f>
        <v>1.6</v>
      </c>
      <c r="O34" s="39">
        <f t="shared" ref="O34" si="86">$B$2*(O35-1)</f>
        <v>1.8</v>
      </c>
      <c r="P34" s="39">
        <f t="shared" ref="P34" si="87">$B$2*(P35-1)</f>
        <v>2</v>
      </c>
      <c r="Q34" s="39">
        <f t="shared" ref="Q34" si="88">$B$2*(Q35-1)</f>
        <v>2.2000000000000002</v>
      </c>
      <c r="R34" s="39">
        <f t="shared" ref="R34" si="89">$B$2*(R35-1)</f>
        <v>2.4000000000000004</v>
      </c>
      <c r="S34" s="39">
        <f t="shared" ref="S34" si="90">$B$2*(S35-1)</f>
        <v>2.6</v>
      </c>
      <c r="T34" s="39">
        <f t="shared" ref="T34" si="91">$B$2*(T35-1)</f>
        <v>2.8000000000000003</v>
      </c>
      <c r="U34" s="60"/>
      <c r="V34" s="62"/>
    </row>
    <row r="35" spans="4:22" x14ac:dyDescent="0.3">
      <c r="D35" s="61"/>
      <c r="E35" s="58"/>
      <c r="F35" s="3">
        <v>1</v>
      </c>
      <c r="G35" s="3">
        <v>2</v>
      </c>
      <c r="H35" s="3">
        <v>3</v>
      </c>
      <c r="I35" s="3">
        <v>4</v>
      </c>
      <c r="J35" s="3">
        <v>5</v>
      </c>
      <c r="K35" s="3">
        <v>6</v>
      </c>
      <c r="L35" s="3">
        <v>7</v>
      </c>
      <c r="M35" s="3">
        <v>8</v>
      </c>
      <c r="N35" s="3">
        <v>9</v>
      </c>
      <c r="O35" s="3">
        <v>10</v>
      </c>
      <c r="P35" s="3">
        <v>11</v>
      </c>
      <c r="Q35" s="3">
        <v>12</v>
      </c>
      <c r="R35" s="3">
        <v>13</v>
      </c>
      <c r="S35" s="3">
        <v>14</v>
      </c>
      <c r="T35" s="3">
        <v>15</v>
      </c>
      <c r="U35" s="61"/>
      <c r="V35" s="63"/>
    </row>
    <row r="39" spans="4:22" x14ac:dyDescent="0.3">
      <c r="D39" s="84" t="s">
        <v>49</v>
      </c>
      <c r="E39" s="85"/>
      <c r="F39" s="3">
        <v>1</v>
      </c>
      <c r="G39" s="3">
        <v>2</v>
      </c>
      <c r="H39" s="3">
        <v>3</v>
      </c>
      <c r="I39" s="3">
        <v>4</v>
      </c>
      <c r="J39" s="3">
        <v>5</v>
      </c>
      <c r="K39" s="3">
        <v>6</v>
      </c>
      <c r="L39" s="3">
        <v>7</v>
      </c>
      <c r="M39" s="3">
        <v>8</v>
      </c>
      <c r="N39" s="3">
        <v>9</v>
      </c>
      <c r="O39" s="3">
        <v>10</v>
      </c>
      <c r="P39" s="3">
        <v>11</v>
      </c>
      <c r="Q39" s="3">
        <v>12</v>
      </c>
      <c r="R39" s="3">
        <v>13</v>
      </c>
      <c r="S39" s="3">
        <v>14</v>
      </c>
      <c r="T39" s="3">
        <v>15</v>
      </c>
      <c r="U39" s="59"/>
      <c r="V39" s="62"/>
    </row>
    <row r="40" spans="4:22" x14ac:dyDescent="0.3">
      <c r="D40" s="86"/>
      <c r="E40" s="87"/>
      <c r="F40" s="39">
        <f>$B$2*(F39-1)</f>
        <v>0</v>
      </c>
      <c r="G40" s="39">
        <f t="shared" ref="G40" si="92">$B$2*(G39-1)</f>
        <v>0.2</v>
      </c>
      <c r="H40" s="39">
        <f t="shared" ref="H40" si="93">$B$2*(H39-1)</f>
        <v>0.4</v>
      </c>
      <c r="I40" s="39">
        <f t="shared" ref="I40" si="94">$B$2*(I39-1)</f>
        <v>0.60000000000000009</v>
      </c>
      <c r="J40" s="39">
        <f t="shared" ref="J40" si="95">$B$2*(J39-1)</f>
        <v>0.8</v>
      </c>
      <c r="K40" s="39">
        <f t="shared" ref="K40" si="96">$B$2*(K39-1)</f>
        <v>1</v>
      </c>
      <c r="L40" s="39">
        <f t="shared" ref="L40" si="97">$B$2*(L39-1)</f>
        <v>1.2000000000000002</v>
      </c>
      <c r="M40" s="39">
        <f t="shared" ref="M40" si="98">$B$2*(M39-1)</f>
        <v>1.4000000000000001</v>
      </c>
      <c r="N40" s="39">
        <f t="shared" ref="N40" si="99">$B$2*(N39-1)</f>
        <v>1.6</v>
      </c>
      <c r="O40" s="39">
        <f t="shared" ref="O40" si="100">$B$2*(O39-1)</f>
        <v>1.8</v>
      </c>
      <c r="P40" s="39">
        <f t="shared" ref="P40" si="101">$B$2*(P39-1)</f>
        <v>2</v>
      </c>
      <c r="Q40" s="39">
        <f t="shared" ref="Q40" si="102">$B$2*(Q39-1)</f>
        <v>2.2000000000000002</v>
      </c>
      <c r="R40" s="39">
        <f t="shared" ref="R40" si="103">$B$2*(R39-1)</f>
        <v>2.4000000000000004</v>
      </c>
      <c r="S40" s="39">
        <f t="shared" ref="S40" si="104">$B$2*(S39-1)</f>
        <v>2.6</v>
      </c>
      <c r="T40" s="39">
        <f t="shared" ref="T40" si="105">$B$2*(T39-1)</f>
        <v>2.8000000000000003</v>
      </c>
      <c r="U40" s="60"/>
      <c r="V40" s="63"/>
    </row>
    <row r="41" spans="4:22" x14ac:dyDescent="0.3">
      <c r="D41" s="7">
        <v>11</v>
      </c>
      <c r="E41" s="49">
        <f t="shared" ref="E41:E49" si="106">$B$2*(D41-1)</f>
        <v>2</v>
      </c>
      <c r="F41" s="42">
        <f>(F23-F24)/$B$2</f>
        <v>10</v>
      </c>
      <c r="G41" s="42">
        <f>(G5-G6)/$B$2</f>
        <v>9.8582767621121192</v>
      </c>
      <c r="H41" s="42">
        <f t="shared" ref="H41:T41" si="107">(H5-H6)/$B$2</f>
        <v>9.6756592109272876</v>
      </c>
      <c r="I41" s="42">
        <f t="shared" si="107"/>
        <v>9.4096349635132182</v>
      </c>
      <c r="J41" s="42">
        <f t="shared" si="107"/>
        <v>9.0239141055563366</v>
      </c>
      <c r="K41" s="42">
        <f t="shared" si="107"/>
        <v>8.5155652462809783</v>
      </c>
      <c r="L41" s="42">
        <f t="shared" si="107"/>
        <v>7.9485465115232223</v>
      </c>
      <c r="M41" s="42">
        <f t="shared" si="107"/>
        <v>7.3892545803176901</v>
      </c>
      <c r="N41" s="42">
        <f t="shared" si="107"/>
        <v>6.8790493544780418</v>
      </c>
      <c r="O41" s="42">
        <f t="shared" si="107"/>
        <v>6.4349680725875391</v>
      </c>
      <c r="P41" s="42">
        <f t="shared" si="107"/>
        <v>6.0578559219307682</v>
      </c>
      <c r="Q41" s="42">
        <f t="shared" si="107"/>
        <v>5.7394575259310798</v>
      </c>
      <c r="R41" s="42">
        <f t="shared" si="107"/>
        <v>5.4669811080266761</v>
      </c>
      <c r="S41" s="42">
        <f t="shared" si="107"/>
        <v>5.225656009776678</v>
      </c>
      <c r="T41" s="42">
        <f t="shared" si="107"/>
        <v>5</v>
      </c>
      <c r="U41" s="49">
        <f t="shared" ref="U41:U49" si="108">$B$2*(V41-1)</f>
        <v>2</v>
      </c>
      <c r="V41" s="3">
        <v>11</v>
      </c>
    </row>
    <row r="42" spans="4:22" x14ac:dyDescent="0.3">
      <c r="D42" s="7">
        <v>10</v>
      </c>
      <c r="E42" s="49">
        <f t="shared" si="106"/>
        <v>1.8</v>
      </c>
      <c r="F42" s="42">
        <f t="shared" ref="F42:F45" si="109">(F6-F7)/$B$2</f>
        <v>10</v>
      </c>
      <c r="G42" s="42">
        <f>(G5-G7)/(2*$B$2)</f>
        <v>9.8787239155009701</v>
      </c>
      <c r="H42" s="42">
        <f t="shared" ref="H42:S42" si="110">(H5-H7)/(2*$B$2)</f>
        <v>9.7173625518430029</v>
      </c>
      <c r="I42" s="42">
        <f t="shared" si="110"/>
        <v>9.4694832573531649</v>
      </c>
      <c r="J42" s="42">
        <f t="shared" si="110"/>
        <v>9.0852280885824666</v>
      </c>
      <c r="K42" s="42">
        <f t="shared" si="110"/>
        <v>8.5449001604615145</v>
      </c>
      <c r="L42" s="42">
        <f t="shared" si="110"/>
        <v>7.9446830781847089</v>
      </c>
      <c r="M42" s="42">
        <f t="shared" si="110"/>
        <v>7.3647111911055507</v>
      </c>
      <c r="N42" s="42">
        <f t="shared" si="110"/>
        <v>6.845987340265089</v>
      </c>
      <c r="O42" s="42">
        <f t="shared" si="110"/>
        <v>6.401483464953861</v>
      </c>
      <c r="P42" s="42">
        <f t="shared" si="110"/>
        <v>6.0284990033152619</v>
      </c>
      <c r="Q42" s="42">
        <f t="shared" si="110"/>
        <v>5.7164965029617143</v>
      </c>
      <c r="R42" s="42">
        <f t="shared" si="110"/>
        <v>5.4514054225468778</v>
      </c>
      <c r="S42" s="42">
        <f t="shared" si="110"/>
        <v>5.2178214525034328</v>
      </c>
      <c r="T42" s="42">
        <f t="shared" ref="T42" si="111">(T6-T7)/$B$2</f>
        <v>5</v>
      </c>
      <c r="U42" s="49">
        <f t="shared" si="108"/>
        <v>1.8</v>
      </c>
      <c r="V42" s="3">
        <v>10</v>
      </c>
    </row>
    <row r="43" spans="4:22" x14ac:dyDescent="0.3">
      <c r="D43" s="7">
        <v>9</v>
      </c>
      <c r="E43" s="49">
        <f t="shared" si="106"/>
        <v>1.6</v>
      </c>
      <c r="F43" s="42">
        <f t="shared" si="109"/>
        <v>10</v>
      </c>
      <c r="G43" s="42">
        <f t="shared" ref="G43:S43" si="112">(G6-G8)/(2*$B$2)</f>
        <v>9.93925634246642</v>
      </c>
      <c r="H43" s="42">
        <f t="shared" si="112"/>
        <v>9.8455838120487478</v>
      </c>
      <c r="I43" s="42">
        <f t="shared" si="112"/>
        <v>9.6657074054823546</v>
      </c>
      <c r="J43" s="42">
        <f t="shared" si="112"/>
        <v>9.302614801695638</v>
      </c>
      <c r="K43" s="42">
        <f t="shared" si="112"/>
        <v>8.6341241856101849</v>
      </c>
      <c r="L43" s="42">
        <f t="shared" si="112"/>
        <v>7.9205743947245155</v>
      </c>
      <c r="M43" s="42">
        <f t="shared" si="112"/>
        <v>7.2789196962216325</v>
      </c>
      <c r="N43" s="42">
        <f t="shared" si="112"/>
        <v>6.7387052751516219</v>
      </c>
      <c r="O43" s="42">
        <f t="shared" si="112"/>
        <v>6.2964793624216808</v>
      </c>
      <c r="P43" s="42">
        <f t="shared" si="112"/>
        <v>5.9381600489029163</v>
      </c>
      <c r="Q43" s="42">
        <f t="shared" si="112"/>
        <v>5.6466239939834795</v>
      </c>
      <c r="R43" s="42">
        <f t="shared" si="112"/>
        <v>5.4043225801755197</v>
      </c>
      <c r="S43" s="42">
        <f t="shared" si="112"/>
        <v>5.1942243522253024</v>
      </c>
      <c r="T43" s="42">
        <f t="shared" ref="T43" si="113">(T7-T8)/$B$2</f>
        <v>5</v>
      </c>
      <c r="U43" s="49">
        <f t="shared" si="108"/>
        <v>1.6</v>
      </c>
      <c r="V43" s="3">
        <v>9</v>
      </c>
    </row>
    <row r="44" spans="4:22" x14ac:dyDescent="0.3">
      <c r="D44" s="7">
        <v>8</v>
      </c>
      <c r="E44" s="49">
        <f t="shared" si="106"/>
        <v>1.4000000000000001</v>
      </c>
      <c r="F44" s="42">
        <f t="shared" si="109"/>
        <v>10</v>
      </c>
      <c r="G44" s="42">
        <f t="shared" ref="G44:S44" si="114">(G7-G9)/(2*$B$2)</f>
        <v>10.032717640034905</v>
      </c>
      <c r="H44" s="42">
        <f t="shared" si="114"/>
        <v>10.06000894311852</v>
      </c>
      <c r="I44" s="42">
        <f t="shared" si="114"/>
        <v>10.045147741650055</v>
      </c>
      <c r="J44" s="42">
        <f t="shared" si="114"/>
        <v>9.8253995108097616</v>
      </c>
      <c r="K44" s="42">
        <f t="shared" si="114"/>
        <v>8.7684073594909453</v>
      </c>
      <c r="L44" s="42">
        <f t="shared" si="114"/>
        <v>7.8245705792657088</v>
      </c>
      <c r="M44" s="42">
        <f t="shared" si="114"/>
        <v>7.091687874243302</v>
      </c>
      <c r="N44" s="42">
        <f t="shared" si="114"/>
        <v>6.5334346412971085</v>
      </c>
      <c r="O44" s="42">
        <f t="shared" si="114"/>
        <v>6.1075685986066448</v>
      </c>
      <c r="P44" s="42">
        <f t="shared" si="114"/>
        <v>5.7810377735946457</v>
      </c>
      <c r="Q44" s="42">
        <f t="shared" si="114"/>
        <v>5.5275167920084218</v>
      </c>
      <c r="R44" s="42">
        <f t="shared" si="114"/>
        <v>5.3250365123774852</v>
      </c>
      <c r="S44" s="42">
        <f t="shared" si="114"/>
        <v>5.15475335602118</v>
      </c>
      <c r="T44" s="42">
        <f t="shared" ref="T44" si="115">(T8-T9)/$B$2</f>
        <v>5</v>
      </c>
      <c r="U44" s="49">
        <f t="shared" si="108"/>
        <v>1.4000000000000001</v>
      </c>
      <c r="V44" s="3">
        <v>8</v>
      </c>
    </row>
    <row r="45" spans="4:22" x14ac:dyDescent="0.3">
      <c r="D45" s="7">
        <v>7</v>
      </c>
      <c r="E45" s="49">
        <f t="shared" si="106"/>
        <v>1.2000000000000002</v>
      </c>
      <c r="F45" s="42">
        <f t="shared" si="109"/>
        <v>10</v>
      </c>
      <c r="G45" s="42">
        <f t="shared" ref="G45:S50" si="116">(G8-G10)/(2*$B$2)</f>
        <v>10.131605276477519</v>
      </c>
      <c r="H45" s="42">
        <f t="shared" si="116"/>
        <v>10.316586582487608</v>
      </c>
      <c r="I45" s="42">
        <f t="shared" si="116"/>
        <v>10.629475112761035</v>
      </c>
      <c r="J45" s="42">
        <f t="shared" si="116"/>
        <v>11.185428145526192</v>
      </c>
      <c r="K45" s="42">
        <f t="shared" si="116"/>
        <v>8.7895351591643056</v>
      </c>
      <c r="L45" s="42">
        <f t="shared" si="116"/>
        <v>7.517612674897074</v>
      </c>
      <c r="M45" s="42">
        <f t="shared" si="116"/>
        <v>6.7298265549119147</v>
      </c>
      <c r="N45" s="42">
        <f t="shared" si="116"/>
        <v>6.1957767841891851</v>
      </c>
      <c r="O45" s="42">
        <f t="shared" si="116"/>
        <v>5.819322577648701</v>
      </c>
      <c r="P45" s="42">
        <f t="shared" si="116"/>
        <v>5.5509056163195858</v>
      </c>
      <c r="Q45" s="42">
        <f t="shared" si="116"/>
        <v>5.3573688525672809</v>
      </c>
      <c r="R45" s="42">
        <f t="shared" si="116"/>
        <v>5.2135532957215913</v>
      </c>
      <c r="S45" s="42">
        <f t="shared" si="116"/>
        <v>5.0997525453056953</v>
      </c>
      <c r="T45" s="42">
        <f t="shared" ref="T45" si="117">(T9-T10)/$B$2</f>
        <v>5</v>
      </c>
      <c r="U45" s="49">
        <f t="shared" si="108"/>
        <v>1.2000000000000002</v>
      </c>
      <c r="V45" s="3">
        <v>7</v>
      </c>
    </row>
    <row r="46" spans="4:22" x14ac:dyDescent="0.3">
      <c r="D46" s="7">
        <v>6</v>
      </c>
      <c r="E46" s="49">
        <f t="shared" si="106"/>
        <v>1</v>
      </c>
      <c r="F46" s="42">
        <f>$B$4</f>
        <v>10</v>
      </c>
      <c r="G46" s="42">
        <f>(G9-G10)/$B$2</f>
        <v>10.177116888928248</v>
      </c>
      <c r="H46" s="42">
        <f t="shared" ref="H46:T51" si="118">(H9-H10)/$B$2</f>
        <v>10.445257010076951</v>
      </c>
      <c r="I46" s="42">
        <f t="shared" si="118"/>
        <v>10.970738001993556</v>
      </c>
      <c r="J46" s="42">
        <f t="shared" si="118"/>
        <v>12.178744801215542</v>
      </c>
      <c r="K46" s="42">
        <f t="shared" si="116"/>
        <v>7.6866924800475394</v>
      </c>
      <c r="L46" s="42">
        <f t="shared" si="116"/>
        <v>6.7265184205066113</v>
      </c>
      <c r="M46" s="42">
        <f t="shared" si="116"/>
        <v>6.1142288905751023</v>
      </c>
      <c r="N46" s="42">
        <f t="shared" si="116"/>
        <v>5.7005233586548032</v>
      </c>
      <c r="O46" s="42">
        <f t="shared" si="116"/>
        <v>5.4230393012807143</v>
      </c>
      <c r="P46" s="42">
        <f t="shared" si="116"/>
        <v>5.2458932476172402</v>
      </c>
      <c r="Q46" s="42">
        <f t="shared" si="116"/>
        <v>5.1374996928272454</v>
      </c>
      <c r="R46" s="42">
        <f t="shared" si="116"/>
        <v>5.0720552615779679</v>
      </c>
      <c r="S46" s="42">
        <f t="shared" si="116"/>
        <v>5.0307035236059159</v>
      </c>
      <c r="T46" s="42">
        <f t="shared" ref="T46" si="119">(T10-T11)/$B$2</f>
        <v>5</v>
      </c>
      <c r="U46" s="49">
        <f t="shared" si="108"/>
        <v>1</v>
      </c>
      <c r="V46" s="3">
        <v>6</v>
      </c>
    </row>
    <row r="47" spans="4:22" x14ac:dyDescent="0.3">
      <c r="D47" s="7">
        <v>5</v>
      </c>
      <c r="E47" s="49">
        <f t="shared" si="106"/>
        <v>0.8</v>
      </c>
      <c r="F47" s="51"/>
      <c r="G47" s="51"/>
      <c r="H47" s="51"/>
      <c r="I47" s="51"/>
      <c r="J47" s="51"/>
      <c r="K47" s="42">
        <f t="shared" si="118"/>
        <v>6.6371160641700362</v>
      </c>
      <c r="L47" s="42">
        <f t="shared" si="116"/>
        <v>5.5875396746167993</v>
      </c>
      <c r="M47" s="42">
        <f t="shared" si="116"/>
        <v>5.3000472601798805</v>
      </c>
      <c r="N47" s="42">
        <f t="shared" si="116"/>
        <v>5.0690484820476271</v>
      </c>
      <c r="O47" s="42">
        <f t="shared" si="116"/>
        <v>4.9264180387714278</v>
      </c>
      <c r="P47" s="42">
        <f t="shared" si="116"/>
        <v>4.8721283917020592</v>
      </c>
      <c r="Q47" s="42">
        <f t="shared" si="116"/>
        <v>4.8746814174534823</v>
      </c>
      <c r="R47" s="42">
        <f t="shared" si="116"/>
        <v>4.9064645387114521</v>
      </c>
      <c r="S47" s="42">
        <f t="shared" si="116"/>
        <v>4.9510062897414269</v>
      </c>
      <c r="T47" s="42">
        <f t="shared" ref="T47" si="120">(T11-T12)/$B$2</f>
        <v>5</v>
      </c>
      <c r="U47" s="49">
        <f t="shared" si="108"/>
        <v>0.8</v>
      </c>
      <c r="V47" s="3">
        <v>5</v>
      </c>
    </row>
    <row r="48" spans="4:22" x14ac:dyDescent="0.3">
      <c r="D48" s="7">
        <v>4</v>
      </c>
      <c r="E48" s="49">
        <f t="shared" si="106"/>
        <v>0.60000000000000009</v>
      </c>
      <c r="F48" s="51"/>
      <c r="G48" s="51"/>
      <c r="H48" s="51"/>
      <c r="I48" s="51"/>
      <c r="J48" s="51"/>
      <c r="K48" s="51"/>
      <c r="L48" s="42">
        <f t="shared" si="118"/>
        <v>5.0084558440859395</v>
      </c>
      <c r="M48" s="42">
        <f t="shared" si="116"/>
        <v>4.429372044076044</v>
      </c>
      <c r="N48" s="42">
        <f t="shared" si="116"/>
        <v>4.3492053173475629</v>
      </c>
      <c r="O48" s="42">
        <f t="shared" si="116"/>
        <v>4.3414560191427976</v>
      </c>
      <c r="P48" s="42">
        <f t="shared" si="116"/>
        <v>4.4415208970625146</v>
      </c>
      <c r="Q48" s="42">
        <f t="shared" si="116"/>
        <v>4.5826330725637181</v>
      </c>
      <c r="R48" s="42">
        <f t="shared" si="116"/>
        <v>4.7281152048803143</v>
      </c>
      <c r="S48" s="42">
        <f t="shared" si="116"/>
        <v>4.8668571059901282</v>
      </c>
      <c r="T48" s="42">
        <f t="shared" ref="T48" si="121">(T12-T13)/$B$2</f>
        <v>5</v>
      </c>
      <c r="U48" s="49">
        <f t="shared" si="108"/>
        <v>0.60000000000000009</v>
      </c>
      <c r="V48" s="3">
        <v>4</v>
      </c>
    </row>
    <row r="49" spans="4:22" x14ac:dyDescent="0.3">
      <c r="D49" s="7">
        <v>3</v>
      </c>
      <c r="E49" s="49">
        <f t="shared" si="106"/>
        <v>0.4</v>
      </c>
      <c r="F49" s="51"/>
      <c r="G49" s="51"/>
      <c r="H49" s="51"/>
      <c r="I49" s="51"/>
      <c r="J49" s="51"/>
      <c r="K49" s="51"/>
      <c r="L49" s="51"/>
      <c r="M49" s="42">
        <f t="shared" si="118"/>
        <v>3.9931583970554505</v>
      </c>
      <c r="N49" s="42">
        <f t="shared" si="116"/>
        <v>3.5569447813725441</v>
      </c>
      <c r="O49" s="42">
        <f t="shared" si="116"/>
        <v>3.6486798782258858</v>
      </c>
      <c r="P49" s="42">
        <f t="shared" si="116"/>
        <v>3.9698661523507086</v>
      </c>
      <c r="Q49" s="42">
        <f t="shared" si="116"/>
        <v>4.2862148119587271</v>
      </c>
      <c r="R49" s="42">
        <f t="shared" si="116"/>
        <v>4.5565061309036947</v>
      </c>
      <c r="S49" s="42">
        <f t="shared" si="116"/>
        <v>4.7883069449598272</v>
      </c>
      <c r="T49" s="42">
        <f t="shared" ref="T49" si="122">(T13-T14)/$B$2</f>
        <v>5</v>
      </c>
      <c r="U49" s="49">
        <f t="shared" si="108"/>
        <v>0.4</v>
      </c>
      <c r="V49" s="3">
        <v>3</v>
      </c>
    </row>
    <row r="50" spans="4:22" x14ac:dyDescent="0.3">
      <c r="D50" s="7">
        <v>2</v>
      </c>
      <c r="E50" s="49">
        <f>$B$2*(D50-1)</f>
        <v>0.2</v>
      </c>
      <c r="F50" s="51"/>
      <c r="G50" s="51"/>
      <c r="H50" s="51"/>
      <c r="I50" s="51"/>
      <c r="J50" s="51"/>
      <c r="K50" s="51"/>
      <c r="L50" s="51"/>
      <c r="M50" s="51"/>
      <c r="N50" s="42">
        <f t="shared" si="118"/>
        <v>3.1416986848708706</v>
      </c>
      <c r="O50" s="42">
        <f t="shared" si="116"/>
        <v>2.7264526160159819</v>
      </c>
      <c r="P50" s="42">
        <f t="shared" si="116"/>
        <v>3.5030490784103363</v>
      </c>
      <c r="Q50" s="42">
        <f t="shared" si="116"/>
        <v>4.0358539396388986</v>
      </c>
      <c r="R50" s="42">
        <f t="shared" si="116"/>
        <v>4.4233875986173539</v>
      </c>
      <c r="S50" s="42">
        <f t="shared" si="116"/>
        <v>4.7298645618793422</v>
      </c>
      <c r="T50" s="42">
        <f t="shared" ref="T50" si="123">(T14-T15)/$B$2</f>
        <v>5</v>
      </c>
      <c r="U50" s="49">
        <f>$B$2*(V50-1)</f>
        <v>0.2</v>
      </c>
      <c r="V50" s="3">
        <v>2</v>
      </c>
    </row>
    <row r="51" spans="4:22" x14ac:dyDescent="0.3">
      <c r="D51" s="7">
        <v>1</v>
      </c>
      <c r="E51" s="49">
        <v>0</v>
      </c>
      <c r="F51" s="51"/>
      <c r="G51" s="51"/>
      <c r="H51" s="51"/>
      <c r="I51" s="51"/>
      <c r="J51" s="51"/>
      <c r="K51" s="51"/>
      <c r="L51" s="51"/>
      <c r="M51" s="51"/>
      <c r="N51" s="51"/>
      <c r="O51" s="42">
        <f t="shared" si="118"/>
        <v>2.1832322132770687</v>
      </c>
      <c r="P51" s="42">
        <f t="shared" si="118"/>
        <v>3.2800236595186902</v>
      </c>
      <c r="Q51" s="42">
        <f t="shared" si="118"/>
        <v>3.930764322142978</v>
      </c>
      <c r="R51" s="42">
        <f t="shared" si="118"/>
        <v>4.3713258009488056</v>
      </c>
      <c r="S51" s="42">
        <f t="shared" si="118"/>
        <v>4.7077637257588139</v>
      </c>
      <c r="T51" s="42">
        <f t="shared" si="118"/>
        <v>5</v>
      </c>
      <c r="U51" s="49">
        <v>0</v>
      </c>
      <c r="V51" s="3">
        <v>1</v>
      </c>
    </row>
    <row r="52" spans="4:22" x14ac:dyDescent="0.3">
      <c r="D52" s="59"/>
      <c r="E52" s="60"/>
      <c r="F52" s="50">
        <f>$B$2*(F53-1)</f>
        <v>0</v>
      </c>
      <c r="G52" s="50">
        <f t="shared" ref="G52" si="124">$B$2*(G53-1)</f>
        <v>0.2</v>
      </c>
      <c r="H52" s="50">
        <f t="shared" ref="H52" si="125">$B$2*(H53-1)</f>
        <v>0.4</v>
      </c>
      <c r="I52" s="50">
        <f t="shared" ref="I52" si="126">$B$2*(I53-1)</f>
        <v>0.60000000000000009</v>
      </c>
      <c r="J52" s="50">
        <f t="shared" ref="J52" si="127">$B$2*(J53-1)</f>
        <v>0.8</v>
      </c>
      <c r="K52" s="50">
        <f t="shared" ref="K52" si="128">$B$2*(K53-1)</f>
        <v>1</v>
      </c>
      <c r="L52" s="50">
        <f t="shared" ref="L52" si="129">$B$2*(L53-1)</f>
        <v>1.2000000000000002</v>
      </c>
      <c r="M52" s="50">
        <f t="shared" ref="M52" si="130">$B$2*(M53-1)</f>
        <v>1.4000000000000001</v>
      </c>
      <c r="N52" s="50">
        <f t="shared" ref="N52" si="131">$B$2*(N53-1)</f>
        <v>1.6</v>
      </c>
      <c r="O52" s="39">
        <f t="shared" ref="O52" si="132">$B$2*(O53-1)</f>
        <v>1.8</v>
      </c>
      <c r="P52" s="39">
        <f t="shared" ref="P52" si="133">$B$2*(P53-1)</f>
        <v>2</v>
      </c>
      <c r="Q52" s="39">
        <f t="shared" ref="Q52" si="134">$B$2*(Q53-1)</f>
        <v>2.2000000000000002</v>
      </c>
      <c r="R52" s="39">
        <f t="shared" ref="R52" si="135">$B$2*(R53-1)</f>
        <v>2.4000000000000004</v>
      </c>
      <c r="S52" s="39">
        <f t="shared" ref="S52" si="136">$B$2*(S53-1)</f>
        <v>2.6</v>
      </c>
      <c r="T52" s="39">
        <f t="shared" ref="T52" si="137">$B$2*(T53-1)</f>
        <v>2.8000000000000003</v>
      </c>
      <c r="U52" s="60"/>
      <c r="V52" s="62"/>
    </row>
    <row r="53" spans="4:22" x14ac:dyDescent="0.3">
      <c r="D53" s="61"/>
      <c r="E53" s="58"/>
      <c r="F53" s="3">
        <v>1</v>
      </c>
      <c r="G53" s="3">
        <v>2</v>
      </c>
      <c r="H53" s="3">
        <v>3</v>
      </c>
      <c r="I53" s="3">
        <v>4</v>
      </c>
      <c r="J53" s="3">
        <v>5</v>
      </c>
      <c r="K53" s="3">
        <v>6</v>
      </c>
      <c r="L53" s="3">
        <v>7</v>
      </c>
      <c r="M53" s="3">
        <v>8</v>
      </c>
      <c r="N53" s="3">
        <v>9</v>
      </c>
      <c r="O53" s="3">
        <v>10</v>
      </c>
      <c r="P53" s="3">
        <v>11</v>
      </c>
      <c r="Q53" s="3">
        <v>12</v>
      </c>
      <c r="R53" s="3">
        <v>13</v>
      </c>
      <c r="S53" s="3">
        <v>14</v>
      </c>
      <c r="T53" s="3">
        <v>15</v>
      </c>
      <c r="U53" s="61"/>
      <c r="V53" s="63"/>
    </row>
    <row r="56" spans="4:22" x14ac:dyDescent="0.3">
      <c r="D56" s="84" t="s">
        <v>50</v>
      </c>
      <c r="E56" s="85"/>
      <c r="F56" s="3">
        <v>1</v>
      </c>
      <c r="G56" s="3">
        <v>2</v>
      </c>
      <c r="H56" s="3">
        <v>3</v>
      </c>
      <c r="I56" s="3">
        <v>4</v>
      </c>
      <c r="J56" s="3">
        <v>5</v>
      </c>
      <c r="K56" s="3">
        <v>6</v>
      </c>
      <c r="L56" s="3">
        <v>7</v>
      </c>
      <c r="M56" s="3">
        <v>8</v>
      </c>
      <c r="N56" s="3">
        <v>9</v>
      </c>
      <c r="O56" s="3">
        <v>10</v>
      </c>
      <c r="P56" s="3">
        <v>11</v>
      </c>
      <c r="Q56" s="3">
        <v>12</v>
      </c>
      <c r="R56" s="3">
        <v>13</v>
      </c>
      <c r="S56" s="3">
        <v>14</v>
      </c>
      <c r="T56" s="3">
        <v>15</v>
      </c>
      <c r="U56" s="59"/>
      <c r="V56" s="62"/>
    </row>
    <row r="57" spans="4:22" x14ac:dyDescent="0.3">
      <c r="D57" s="86"/>
      <c r="E57" s="87"/>
      <c r="F57" s="39">
        <f>$B$2*(F56-1)</f>
        <v>0</v>
      </c>
      <c r="G57" s="39">
        <f t="shared" ref="G57" si="138">$B$2*(G56-1)</f>
        <v>0.2</v>
      </c>
      <c r="H57" s="39">
        <f t="shared" ref="H57" si="139">$B$2*(H56-1)</f>
        <v>0.4</v>
      </c>
      <c r="I57" s="39">
        <f t="shared" ref="I57" si="140">$B$2*(I56-1)</f>
        <v>0.60000000000000009</v>
      </c>
      <c r="J57" s="39">
        <f t="shared" ref="J57" si="141">$B$2*(J56-1)</f>
        <v>0.8</v>
      </c>
      <c r="K57" s="39">
        <f t="shared" ref="K57" si="142">$B$2*(K56-1)</f>
        <v>1</v>
      </c>
      <c r="L57" s="39">
        <f t="shared" ref="L57" si="143">$B$2*(L56-1)</f>
        <v>1.2000000000000002</v>
      </c>
      <c r="M57" s="39">
        <f t="shared" ref="M57" si="144">$B$2*(M56-1)</f>
        <v>1.4000000000000001</v>
      </c>
      <c r="N57" s="39">
        <f t="shared" ref="N57" si="145">$B$2*(N56-1)</f>
        <v>1.6</v>
      </c>
      <c r="O57" s="39">
        <f t="shared" ref="O57" si="146">$B$2*(O56-1)</f>
        <v>1.8</v>
      </c>
      <c r="P57" s="39">
        <f t="shared" ref="P57" si="147">$B$2*(P56-1)</f>
        <v>2</v>
      </c>
      <c r="Q57" s="39">
        <f t="shared" ref="Q57" si="148">$B$2*(Q56-1)</f>
        <v>2.2000000000000002</v>
      </c>
      <c r="R57" s="39">
        <f t="shared" ref="R57" si="149">$B$2*(R56-1)</f>
        <v>2.4000000000000004</v>
      </c>
      <c r="S57" s="39">
        <f t="shared" ref="S57" si="150">$B$2*(S56-1)</f>
        <v>2.6</v>
      </c>
      <c r="T57" s="39">
        <f t="shared" ref="T57" si="151">$B$2*(T56-1)</f>
        <v>2.8000000000000003</v>
      </c>
      <c r="U57" s="60"/>
      <c r="V57" s="63"/>
    </row>
    <row r="58" spans="4:22" x14ac:dyDescent="0.3">
      <c r="D58" s="7">
        <v>11</v>
      </c>
      <c r="E58" s="49">
        <f t="shared" ref="E58:E66" si="152">$B$2*(D58-1)</f>
        <v>2</v>
      </c>
      <c r="F58" s="42">
        <f>-(G5-F5)/$B$2</f>
        <v>0</v>
      </c>
      <c r="G58" s="42">
        <f>-(H5-F5)/(2*$B$2)</f>
        <v>0</v>
      </c>
      <c r="H58" s="42">
        <f t="shared" ref="H58:S58" si="153">-(I5-G5)/(2*$B$2)</f>
        <v>0</v>
      </c>
      <c r="I58" s="42">
        <f t="shared" si="153"/>
        <v>0</v>
      </c>
      <c r="J58" s="42">
        <f t="shared" si="153"/>
        <v>0</v>
      </c>
      <c r="K58" s="42">
        <f t="shared" si="153"/>
        <v>0</v>
      </c>
      <c r="L58" s="42">
        <f t="shared" si="153"/>
        <v>0</v>
      </c>
      <c r="M58" s="42">
        <f t="shared" si="153"/>
        <v>0</v>
      </c>
      <c r="N58" s="42">
        <f t="shared" si="153"/>
        <v>0</v>
      </c>
      <c r="O58" s="42">
        <f t="shared" si="153"/>
        <v>0</v>
      </c>
      <c r="P58" s="42">
        <f t="shared" si="153"/>
        <v>0</v>
      </c>
      <c r="Q58" s="42">
        <f t="shared" si="153"/>
        <v>0</v>
      </c>
      <c r="R58" s="42">
        <f t="shared" si="153"/>
        <v>0</v>
      </c>
      <c r="S58" s="42">
        <f t="shared" si="153"/>
        <v>0</v>
      </c>
      <c r="T58" s="42">
        <f>-(T5-S5)/$B$2</f>
        <v>0</v>
      </c>
      <c r="U58" s="49">
        <f t="shared" ref="U58:U66" si="154">$B$2*(V58-1)</f>
        <v>2</v>
      </c>
      <c r="V58" s="3">
        <v>11</v>
      </c>
    </row>
    <row r="59" spans="4:22" x14ac:dyDescent="0.3">
      <c r="D59" s="7">
        <v>10</v>
      </c>
      <c r="E59" s="49">
        <f t="shared" si="152"/>
        <v>1.8</v>
      </c>
      <c r="F59" s="42">
        <f t="shared" ref="F59:F63" si="155">-(G6-F6)/$B$2</f>
        <v>-0.14172323788788077</v>
      </c>
      <c r="G59" s="42">
        <f t="shared" ref="G59:S59" si="156">-(H6-F6)/(2*$B$2)</f>
        <v>-0.16217039453635618</v>
      </c>
      <c r="H59" s="42">
        <f t="shared" si="156"/>
        <v>-0.22432089929945054</v>
      </c>
      <c r="I59" s="42">
        <f t="shared" si="156"/>
        <v>-0.32587255268547555</v>
      </c>
      <c r="J59" s="42">
        <f t="shared" si="156"/>
        <v>-0.44703485861611991</v>
      </c>
      <c r="K59" s="42">
        <f t="shared" si="156"/>
        <v>-0.53768379701655711</v>
      </c>
      <c r="L59" s="42">
        <f t="shared" si="156"/>
        <v>-0.56315533298164411</v>
      </c>
      <c r="M59" s="42">
        <f t="shared" si="156"/>
        <v>-0.53474857852259028</v>
      </c>
      <c r="N59" s="42">
        <f t="shared" si="156"/>
        <v>-0.4771432538650755</v>
      </c>
      <c r="O59" s="42">
        <f t="shared" si="156"/>
        <v>-0.41059671627363681</v>
      </c>
      <c r="P59" s="42">
        <f t="shared" si="156"/>
        <v>-0.34775527332822964</v>
      </c>
      <c r="Q59" s="42">
        <f t="shared" si="156"/>
        <v>-0.29543740695204601</v>
      </c>
      <c r="R59" s="42">
        <f t="shared" si="156"/>
        <v>-0.25690075807720092</v>
      </c>
      <c r="S59" s="42">
        <f t="shared" si="156"/>
        <v>-0.23349055401333807</v>
      </c>
      <c r="T59" s="42">
        <f t="shared" ref="T59:T68" si="157">-(T6-S6)/$B$2</f>
        <v>-0.22565600977667799</v>
      </c>
      <c r="U59" s="49">
        <f t="shared" si="154"/>
        <v>1.8</v>
      </c>
      <c r="V59" s="3">
        <v>10</v>
      </c>
    </row>
    <row r="60" spans="4:22" x14ac:dyDescent="0.3">
      <c r="D60" s="7">
        <v>9</v>
      </c>
      <c r="E60" s="49">
        <f t="shared" si="152"/>
        <v>1.6</v>
      </c>
      <c r="F60" s="42">
        <f t="shared" si="155"/>
        <v>-0.24255216899805809</v>
      </c>
      <c r="G60" s="42">
        <f t="shared" ref="G60:S60" si="158">-(H7-F7)/(2*$B$2)</f>
        <v>-0.2826374481569971</v>
      </c>
      <c r="H60" s="42">
        <f t="shared" si="158"/>
        <v>-0.40924065814780475</v>
      </c>
      <c r="I60" s="42">
        <f t="shared" si="158"/>
        <v>-0.63213446326053635</v>
      </c>
      <c r="J60" s="42">
        <f t="shared" si="158"/>
        <v>-0.9245830968916513</v>
      </c>
      <c r="K60" s="42">
        <f t="shared" si="158"/>
        <v>-1.1405450103977577</v>
      </c>
      <c r="L60" s="42">
        <f t="shared" si="158"/>
        <v>-1.1801889693559642</v>
      </c>
      <c r="M60" s="42">
        <f t="shared" si="158"/>
        <v>-1.0986957379196194</v>
      </c>
      <c r="N60" s="42">
        <f t="shared" si="158"/>
        <v>-0.96322772615168972</v>
      </c>
      <c r="O60" s="42">
        <f t="shared" si="158"/>
        <v>-0.81748833694982759</v>
      </c>
      <c r="P60" s="42">
        <f t="shared" si="158"/>
        <v>-0.6849869619921467</v>
      </c>
      <c r="Q60" s="42">
        <f t="shared" si="158"/>
        <v>-0.57709358076838413</v>
      </c>
      <c r="R60" s="42">
        <f t="shared" si="158"/>
        <v>-0.49867505045828153</v>
      </c>
      <c r="S60" s="42">
        <f t="shared" si="158"/>
        <v>-0.45140542254687777</v>
      </c>
      <c r="T60" s="42">
        <f t="shared" si="157"/>
        <v>-0.43564290500686553</v>
      </c>
      <c r="U60" s="49">
        <f t="shared" si="154"/>
        <v>1.6</v>
      </c>
      <c r="V60" s="3">
        <v>9</v>
      </c>
    </row>
    <row r="61" spans="4:22" x14ac:dyDescent="0.3">
      <c r="D61" s="7">
        <v>8</v>
      </c>
      <c r="E61" s="49">
        <f t="shared" si="152"/>
        <v>1.4000000000000001</v>
      </c>
      <c r="F61" s="42">
        <f t="shared" si="155"/>
        <v>-0.26321055295503992</v>
      </c>
      <c r="G61" s="42">
        <f t="shared" ref="G61:S61" si="159">-(H8-F8)/(2*$B$2)</f>
        <v>-0.31658658248760796</v>
      </c>
      <c r="H61" s="42">
        <f t="shared" si="159"/>
        <v>-0.49786983628351544</v>
      </c>
      <c r="I61" s="42">
        <f t="shared" si="159"/>
        <v>-0.86884156303858484</v>
      </c>
      <c r="J61" s="42">
        <f t="shared" si="159"/>
        <v>-1.4786180784882896</v>
      </c>
      <c r="K61" s="42">
        <f t="shared" si="159"/>
        <v>-1.9197242039876805</v>
      </c>
      <c r="L61" s="42">
        <f t="shared" si="159"/>
        <v>-1.918359822370197</v>
      </c>
      <c r="M61" s="42">
        <f t="shared" si="159"/>
        <v>-1.7166176980954839</v>
      </c>
      <c r="N61" s="42">
        <f t="shared" si="159"/>
        <v>-1.4595835876650276</v>
      </c>
      <c r="O61" s="42">
        <f t="shared" si="159"/>
        <v>-1.2111419425223424</v>
      </c>
      <c r="P61" s="42">
        <f t="shared" si="159"/>
        <v>-0.99761064176643099</v>
      </c>
      <c r="Q61" s="42">
        <f t="shared" si="159"/>
        <v>-0.82927487567944214</v>
      </c>
      <c r="R61" s="42">
        <f t="shared" si="159"/>
        <v>-0.70930039983537752</v>
      </c>
      <c r="S61" s="42">
        <f t="shared" si="159"/>
        <v>-0.63781313418885821</v>
      </c>
      <c r="T61" s="42">
        <f t="shared" si="157"/>
        <v>-0.61410471422728374</v>
      </c>
      <c r="U61" s="49">
        <f t="shared" si="154"/>
        <v>1.4000000000000001</v>
      </c>
      <c r="V61" s="3">
        <v>8</v>
      </c>
    </row>
    <row r="62" spans="4:22" x14ac:dyDescent="0.3">
      <c r="D62" s="7">
        <v>7</v>
      </c>
      <c r="E62" s="49">
        <f t="shared" si="152"/>
        <v>1.2000000000000002</v>
      </c>
      <c r="F62" s="42">
        <f t="shared" si="155"/>
        <v>-0.17711688892824817</v>
      </c>
      <c r="G62" s="42">
        <f t="shared" ref="G62:S62" si="160">-(H9-F9)/(2*$B$2)</f>
        <v>-0.22262850503847575</v>
      </c>
      <c r="H62" s="42">
        <f t="shared" si="160"/>
        <v>-0.39681055653265407</v>
      </c>
      <c r="I62" s="42">
        <f t="shared" si="160"/>
        <v>-0.86674389556929521</v>
      </c>
      <c r="J62" s="42">
        <f t="shared" si="160"/>
        <v>-2.2013234790507616</v>
      </c>
      <c r="K62" s="42">
        <f t="shared" si="160"/>
        <v>-3.1413739419418105</v>
      </c>
      <c r="L62" s="42">
        <f t="shared" si="160"/>
        <v>-2.856908454603607</v>
      </c>
      <c r="M62" s="42">
        <f t="shared" si="160"/>
        <v>-2.3898316758882197</v>
      </c>
      <c r="N62" s="42">
        <f t="shared" si="160"/>
        <v>-1.9473470017883465</v>
      </c>
      <c r="O62" s="42">
        <f t="shared" si="160"/>
        <v>-1.5698852046522904</v>
      </c>
      <c r="P62" s="42">
        <f t="shared" si="160"/>
        <v>-1.2650387685903697</v>
      </c>
      <c r="Q62" s="42">
        <f t="shared" si="160"/>
        <v>-1.0330948419855446</v>
      </c>
      <c r="R62" s="42">
        <f t="shared" si="160"/>
        <v>-0.8714384864455238</v>
      </c>
      <c r="S62" s="42">
        <f t="shared" si="160"/>
        <v>-0.77644193492436342</v>
      </c>
      <c r="T62" s="42">
        <f t="shared" si="157"/>
        <v>-0.74514961704922555</v>
      </c>
      <c r="U62" s="49">
        <f t="shared" si="154"/>
        <v>1.2000000000000002</v>
      </c>
      <c r="V62" s="3">
        <v>7</v>
      </c>
    </row>
    <row r="63" spans="4:22" x14ac:dyDescent="0.3">
      <c r="D63" s="7">
        <v>6</v>
      </c>
      <c r="E63" s="49">
        <f t="shared" si="152"/>
        <v>1</v>
      </c>
      <c r="F63" s="42">
        <f t="shared" si="155"/>
        <v>0</v>
      </c>
      <c r="G63" s="42">
        <f t="shared" ref="G63:S68" si="161">-(H10-F10)/(2*$B$2)</f>
        <v>0</v>
      </c>
      <c r="H63" s="42">
        <f t="shared" si="161"/>
        <v>0</v>
      </c>
      <c r="I63" s="42">
        <f t="shared" si="161"/>
        <v>0</v>
      </c>
      <c r="J63" s="42">
        <f t="shared" si="161"/>
        <v>-3.3185580320850181</v>
      </c>
      <c r="K63" s="42">
        <f t="shared" si="161"/>
        <v>-5.5875396746167993</v>
      </c>
      <c r="L63" s="42">
        <f t="shared" si="161"/>
        <v>-3.9780684266225883</v>
      </c>
      <c r="M63" s="42">
        <f t="shared" si="161"/>
        <v>-3.0384535888033724</v>
      </c>
      <c r="N63" s="42">
        <f t="shared" si="161"/>
        <v>-2.3700875649282414</v>
      </c>
      <c r="O63" s="42">
        <f t="shared" si="161"/>
        <v>-1.8560131103919419</v>
      </c>
      <c r="P63" s="42">
        <f t="shared" si="161"/>
        <v>-1.4595643668478508</v>
      </c>
      <c r="Q63" s="42">
        <f t="shared" si="161"/>
        <v>-1.1666271962774366</v>
      </c>
      <c r="R63" s="42">
        <f t="shared" si="161"/>
        <v>-0.96691670709696309</v>
      </c>
      <c r="S63" s="42">
        <f t="shared" si="161"/>
        <v>-0.85136642991044953</v>
      </c>
      <c r="T63" s="42">
        <f t="shared" si="157"/>
        <v>-0.81360980483867529</v>
      </c>
      <c r="U63" s="49">
        <f t="shared" si="154"/>
        <v>1</v>
      </c>
      <c r="V63" s="3">
        <v>6</v>
      </c>
    </row>
    <row r="64" spans="4:22" x14ac:dyDescent="0.3">
      <c r="D64" s="7">
        <v>5</v>
      </c>
      <c r="E64" s="49">
        <f t="shared" si="152"/>
        <v>0.8</v>
      </c>
      <c r="F64" s="51"/>
      <c r="G64" s="51"/>
      <c r="H64" s="51"/>
      <c r="I64" s="51"/>
      <c r="J64" s="51"/>
      <c r="K64" s="42">
        <f>-(L11-K11)/$B$2</f>
        <v>-5.0084558440859395</v>
      </c>
      <c r="L64" s="54">
        <f t="shared" si="161"/>
        <v>-4.429372044076044</v>
      </c>
      <c r="M64" s="42">
        <f t="shared" si="161"/>
        <v>-3.4158267377400287</v>
      </c>
      <c r="N64" s="42">
        <f t="shared" si="161"/>
        <v>-2.638536591082735</v>
      </c>
      <c r="O64" s="42">
        <f t="shared" si="161"/>
        <v>-2.024515315689853</v>
      </c>
      <c r="P64" s="42">
        <f t="shared" si="161"/>
        <v>-1.5505783770438386</v>
      </c>
      <c r="Q64" s="42">
        <f t="shared" si="161"/>
        <v>-1.2069328280248171</v>
      </c>
      <c r="R64" s="42">
        <f t="shared" si="161"/>
        <v>-0.97823465566685308</v>
      </c>
      <c r="S64" s="42">
        <f t="shared" si="161"/>
        <v>-0.84849719650233135</v>
      </c>
      <c r="T64" s="42">
        <f t="shared" si="157"/>
        <v>-0.80655666426105777</v>
      </c>
      <c r="U64" s="49">
        <f t="shared" si="154"/>
        <v>0.8</v>
      </c>
      <c r="V64" s="3">
        <v>5</v>
      </c>
    </row>
    <row r="65" spans="4:22" x14ac:dyDescent="0.3">
      <c r="D65" s="7">
        <v>4</v>
      </c>
      <c r="E65" s="49">
        <f t="shared" si="152"/>
        <v>0.60000000000000009</v>
      </c>
      <c r="F65" s="51"/>
      <c r="G65" s="51"/>
      <c r="H65" s="51"/>
      <c r="I65" s="51"/>
      <c r="J65" s="51"/>
      <c r="K65" s="51"/>
      <c r="L65" s="42">
        <f>-(M12-L12)/$B$2</f>
        <v>-3.9931583970554505</v>
      </c>
      <c r="M65" s="42">
        <f t="shared" si="161"/>
        <v>-3.5569447813725441</v>
      </c>
      <c r="N65" s="42">
        <f t="shared" si="161"/>
        <v>-2.7437167863366949</v>
      </c>
      <c r="O65" s="42">
        <f t="shared" si="161"/>
        <v>-2.0529332007375101</v>
      </c>
      <c r="P65" s="42">
        <f t="shared" si="161"/>
        <v>-1.5113009881657962</v>
      </c>
      <c r="Q65" s="42">
        <f t="shared" si="161"/>
        <v>-1.1322910492680438</v>
      </c>
      <c r="R65" s="42">
        <f t="shared" si="161"/>
        <v>-0.89059183480901805</v>
      </c>
      <c r="S65" s="42">
        <f t="shared" si="161"/>
        <v>-0.75783096862190202</v>
      </c>
      <c r="T65" s="42">
        <f t="shared" si="157"/>
        <v>-0.71562238432153036</v>
      </c>
      <c r="U65" s="49">
        <f t="shared" si="154"/>
        <v>0.60000000000000009</v>
      </c>
      <c r="V65" s="3">
        <v>4</v>
      </c>
    </row>
    <row r="66" spans="4:22" x14ac:dyDescent="0.3">
      <c r="D66" s="7">
        <v>3</v>
      </c>
      <c r="E66" s="49">
        <f t="shared" si="152"/>
        <v>0.4</v>
      </c>
      <c r="F66" s="51"/>
      <c r="G66" s="51"/>
      <c r="H66" s="51"/>
      <c r="I66" s="51"/>
      <c r="J66" s="51"/>
      <c r="K66" s="51"/>
      <c r="L66" s="51"/>
      <c r="M66" s="42">
        <f>-(N13-M13)/$B$2</f>
        <v>-3.1416986848708706</v>
      </c>
      <c r="N66" s="42">
        <f t="shared" si="161"/>
        <v>-2.7264526160159819</v>
      </c>
      <c r="O66" s="42">
        <f t="shared" si="161"/>
        <v>-1.932199735974901</v>
      </c>
      <c r="P66" s="42">
        <f t="shared" si="161"/>
        <v>-1.3094013236229174</v>
      </c>
      <c r="Q66" s="42">
        <f t="shared" si="161"/>
        <v>-0.92033852020701801</v>
      </c>
      <c r="R66" s="42">
        <f t="shared" si="161"/>
        <v>-0.69401062224044352</v>
      </c>
      <c r="S66" s="42">
        <f t="shared" si="161"/>
        <v>-0.57661240138264569</v>
      </c>
      <c r="T66" s="42">
        <f t="shared" si="157"/>
        <v>-0.54027087624131442</v>
      </c>
      <c r="U66" s="49">
        <f t="shared" si="154"/>
        <v>0.4</v>
      </c>
      <c r="V66" s="3">
        <v>3</v>
      </c>
    </row>
    <row r="67" spans="4:22" x14ac:dyDescent="0.3">
      <c r="D67" s="7">
        <v>2</v>
      </c>
      <c r="E67" s="49">
        <f>$B$2*(D67-1)</f>
        <v>0.2</v>
      </c>
      <c r="F67" s="51"/>
      <c r="G67" s="51"/>
      <c r="H67" s="51"/>
      <c r="I67" s="51"/>
      <c r="J67" s="51"/>
      <c r="K67" s="51"/>
      <c r="L67" s="51"/>
      <c r="M67" s="51"/>
      <c r="N67" s="42">
        <f>-(O14-N14)/$B$2</f>
        <v>-2.1832322132770687</v>
      </c>
      <c r="O67" s="42">
        <f t="shared" si="161"/>
        <v>-1.6400118297593451</v>
      </c>
      <c r="P67" s="42">
        <f>-(Q14-O14)/(2*$B$2)</f>
        <v>-0.87376605443295474</v>
      </c>
      <c r="Q67" s="42">
        <f t="shared" si="161"/>
        <v>-0.5456510707150577</v>
      </c>
      <c r="R67" s="42">
        <f t="shared" si="161"/>
        <v>-0.3884997018079181</v>
      </c>
      <c r="S67" s="42">
        <f t="shared" si="161"/>
        <v>-0.31433709952559702</v>
      </c>
      <c r="T67" s="42">
        <f t="shared" si="157"/>
        <v>-0.29223627424118548</v>
      </c>
      <c r="U67" s="49">
        <f>$B$2*(V67-1)</f>
        <v>0.2</v>
      </c>
      <c r="V67" s="3">
        <v>2</v>
      </c>
    </row>
    <row r="68" spans="4:22" x14ac:dyDescent="0.3">
      <c r="D68" s="7">
        <v>1</v>
      </c>
      <c r="E68" s="49">
        <v>0</v>
      </c>
      <c r="F68" s="51"/>
      <c r="G68" s="51"/>
      <c r="H68" s="51"/>
      <c r="I68" s="51"/>
      <c r="J68" s="51"/>
      <c r="K68" s="51"/>
      <c r="L68" s="51"/>
      <c r="M68" s="51"/>
      <c r="N68" s="52"/>
      <c r="O68" s="42">
        <f>-(P15-O15)/$B$2</f>
        <v>0</v>
      </c>
      <c r="P68" s="42">
        <f>-(Q15-O15)/(2*$B$2)</f>
        <v>0</v>
      </c>
      <c r="Q68" s="42">
        <f t="shared" si="161"/>
        <v>0</v>
      </c>
      <c r="R68" s="42">
        <f t="shared" si="161"/>
        <v>0</v>
      </c>
      <c r="S68" s="42">
        <f t="shared" si="161"/>
        <v>0</v>
      </c>
      <c r="T68" s="42">
        <f t="shared" si="157"/>
        <v>0</v>
      </c>
      <c r="U68" s="49">
        <v>0</v>
      </c>
      <c r="V68" s="3">
        <v>1</v>
      </c>
    </row>
    <row r="69" spans="4:22" x14ac:dyDescent="0.3">
      <c r="D69" s="59"/>
      <c r="E69" s="60"/>
      <c r="F69" s="50">
        <f>$B$2*(F70-1)</f>
        <v>0</v>
      </c>
      <c r="G69" s="50">
        <f t="shared" ref="G69" si="162">$B$2*(G70-1)</f>
        <v>0.2</v>
      </c>
      <c r="H69" s="50">
        <f t="shared" ref="H69" si="163">$B$2*(H70-1)</f>
        <v>0.4</v>
      </c>
      <c r="I69" s="50">
        <f t="shared" ref="I69" si="164">$B$2*(I70-1)</f>
        <v>0.60000000000000009</v>
      </c>
      <c r="J69" s="50">
        <f t="shared" ref="J69" si="165">$B$2*(J70-1)</f>
        <v>0.8</v>
      </c>
      <c r="K69" s="50">
        <f t="shared" ref="K69" si="166">$B$2*(K70-1)</f>
        <v>1</v>
      </c>
      <c r="L69" s="50">
        <f t="shared" ref="L69" si="167">$B$2*(L70-1)</f>
        <v>1.2000000000000002</v>
      </c>
      <c r="M69" s="50">
        <f t="shared" ref="M69" si="168">$B$2*(M70-1)</f>
        <v>1.4000000000000001</v>
      </c>
      <c r="N69" s="39">
        <f t="shared" ref="N69" si="169">$B$2*(N70-1)</f>
        <v>1.6</v>
      </c>
      <c r="O69" s="39">
        <f t="shared" ref="O69" si="170">$B$2*(O70-1)</f>
        <v>1.8</v>
      </c>
      <c r="P69" s="39">
        <f t="shared" ref="P69" si="171">$B$2*(P70-1)</f>
        <v>2</v>
      </c>
      <c r="Q69" s="39">
        <f t="shared" ref="Q69" si="172">$B$2*(Q70-1)</f>
        <v>2.2000000000000002</v>
      </c>
      <c r="R69" s="39">
        <f t="shared" ref="R69" si="173">$B$2*(R70-1)</f>
        <v>2.4000000000000004</v>
      </c>
      <c r="S69" s="39">
        <f t="shared" ref="S69" si="174">$B$2*(S70-1)</f>
        <v>2.6</v>
      </c>
      <c r="T69" s="39">
        <f t="shared" ref="T69" si="175">$B$2*(T70-1)</f>
        <v>2.8000000000000003</v>
      </c>
      <c r="U69" s="60"/>
      <c r="V69" s="62"/>
    </row>
    <row r="70" spans="4:22" x14ac:dyDescent="0.3">
      <c r="D70" s="61"/>
      <c r="E70" s="58"/>
      <c r="F70" s="3">
        <v>1</v>
      </c>
      <c r="G70" s="3">
        <v>2</v>
      </c>
      <c r="H70" s="3">
        <v>3</v>
      </c>
      <c r="I70" s="3">
        <v>4</v>
      </c>
      <c r="J70" s="3">
        <v>5</v>
      </c>
      <c r="K70" s="3">
        <v>6</v>
      </c>
      <c r="L70" s="3">
        <v>7</v>
      </c>
      <c r="M70" s="3">
        <v>8</v>
      </c>
      <c r="N70" s="3">
        <v>9</v>
      </c>
      <c r="O70" s="3">
        <v>10</v>
      </c>
      <c r="P70" s="3">
        <v>11</v>
      </c>
      <c r="Q70" s="3">
        <v>12</v>
      </c>
      <c r="R70" s="3">
        <v>13</v>
      </c>
      <c r="S70" s="3">
        <v>14</v>
      </c>
      <c r="T70" s="3">
        <v>15</v>
      </c>
      <c r="U70" s="61"/>
      <c r="V70" s="63"/>
    </row>
    <row r="73" spans="4:22" x14ac:dyDescent="0.3">
      <c r="D73" s="88" t="s">
        <v>57</v>
      </c>
      <c r="E73" s="89"/>
      <c r="F73" s="3">
        <v>1</v>
      </c>
      <c r="G73" s="3">
        <v>2</v>
      </c>
      <c r="H73" s="3">
        <v>3</v>
      </c>
      <c r="I73" s="3">
        <v>4</v>
      </c>
      <c r="J73" s="3">
        <v>5</v>
      </c>
      <c r="K73" s="3">
        <v>6</v>
      </c>
      <c r="L73" s="3">
        <v>7</v>
      </c>
      <c r="M73" s="3">
        <v>8</v>
      </c>
      <c r="N73" s="3">
        <v>9</v>
      </c>
      <c r="O73" s="3">
        <v>10</v>
      </c>
      <c r="P73" s="3">
        <v>11</v>
      </c>
      <c r="Q73" s="3">
        <v>12</v>
      </c>
      <c r="R73" s="3">
        <v>13</v>
      </c>
      <c r="S73" s="3">
        <v>14</v>
      </c>
      <c r="T73" s="3">
        <v>15</v>
      </c>
      <c r="U73" s="59"/>
      <c r="V73" s="62"/>
    </row>
    <row r="74" spans="4:22" x14ac:dyDescent="0.3">
      <c r="D74" s="90"/>
      <c r="E74" s="91"/>
      <c r="F74" s="39">
        <f>$B$2*(F73-1)</f>
        <v>0</v>
      </c>
      <c r="G74" s="39">
        <f t="shared" ref="G74" si="176">$B$2*(G73-1)</f>
        <v>0.2</v>
      </c>
      <c r="H74" s="39">
        <f t="shared" ref="H74" si="177">$B$2*(H73-1)</f>
        <v>0.4</v>
      </c>
      <c r="I74" s="39">
        <f t="shared" ref="I74" si="178">$B$2*(I73-1)</f>
        <v>0.60000000000000009</v>
      </c>
      <c r="J74" s="39">
        <f t="shared" ref="J74" si="179">$B$2*(J73-1)</f>
        <v>0.8</v>
      </c>
      <c r="K74" s="39">
        <f t="shared" ref="K74" si="180">$B$2*(K73-1)</f>
        <v>1</v>
      </c>
      <c r="L74" s="39">
        <f t="shared" ref="L74" si="181">$B$2*(L73-1)</f>
        <v>1.2000000000000002</v>
      </c>
      <c r="M74" s="39">
        <f t="shared" ref="M74" si="182">$B$2*(M73-1)</f>
        <v>1.4000000000000001</v>
      </c>
      <c r="N74" s="39">
        <f t="shared" ref="N74" si="183">$B$2*(N73-1)</f>
        <v>1.6</v>
      </c>
      <c r="O74" s="39">
        <f t="shared" ref="O74" si="184">$B$2*(O73-1)</f>
        <v>1.8</v>
      </c>
      <c r="P74" s="39">
        <f t="shared" ref="P74" si="185">$B$2*(P73-1)</f>
        <v>2</v>
      </c>
      <c r="Q74" s="39">
        <f t="shared" ref="Q74" si="186">$B$2*(Q73-1)</f>
        <v>2.2000000000000002</v>
      </c>
      <c r="R74" s="39">
        <f t="shared" ref="R74" si="187">$B$2*(R73-1)</f>
        <v>2.4000000000000004</v>
      </c>
      <c r="S74" s="39">
        <f t="shared" ref="S74" si="188">$B$2*(S73-1)</f>
        <v>2.6</v>
      </c>
      <c r="T74" s="39">
        <f t="shared" ref="T74" si="189">$B$2*(T73-1)</f>
        <v>2.8000000000000003</v>
      </c>
      <c r="U74" s="60"/>
      <c r="V74" s="63"/>
    </row>
    <row r="75" spans="4:22" x14ac:dyDescent="0.3">
      <c r="D75" s="7">
        <v>11</v>
      </c>
      <c r="E75" s="49">
        <f t="shared" ref="E75:E83" si="190">$B$2*(D75-1)</f>
        <v>2</v>
      </c>
      <c r="F75" s="42">
        <f>(F58^2+F41^2)^0.5</f>
        <v>10</v>
      </c>
      <c r="G75" s="42">
        <f t="shared" ref="G75:T75" si="191">(G58^2+G41^2)^0.5</f>
        <v>9.8582767621121192</v>
      </c>
      <c r="H75" s="42">
        <f t="shared" si="191"/>
        <v>9.6756592109272876</v>
      </c>
      <c r="I75" s="42">
        <f t="shared" si="191"/>
        <v>9.4096349635132182</v>
      </c>
      <c r="J75" s="42">
        <f t="shared" si="191"/>
        <v>9.0239141055563366</v>
      </c>
      <c r="K75" s="42">
        <f t="shared" si="191"/>
        <v>8.5155652462809783</v>
      </c>
      <c r="L75" s="42">
        <f t="shared" si="191"/>
        <v>7.9485465115232223</v>
      </c>
      <c r="M75" s="42">
        <f t="shared" si="191"/>
        <v>7.3892545803176901</v>
      </c>
      <c r="N75" s="42">
        <f t="shared" si="191"/>
        <v>6.8790493544780418</v>
      </c>
      <c r="O75" s="42">
        <f t="shared" si="191"/>
        <v>6.4349680725875391</v>
      </c>
      <c r="P75" s="42">
        <f t="shared" si="191"/>
        <v>6.0578559219307682</v>
      </c>
      <c r="Q75" s="42">
        <f t="shared" si="191"/>
        <v>5.7394575259310798</v>
      </c>
      <c r="R75" s="42">
        <f t="shared" si="191"/>
        <v>5.4669811080266761</v>
      </c>
      <c r="S75" s="42">
        <f t="shared" si="191"/>
        <v>5.225656009776678</v>
      </c>
      <c r="T75" s="42">
        <f t="shared" si="191"/>
        <v>5</v>
      </c>
      <c r="U75" s="49">
        <f t="shared" ref="U75:U83" si="192">$B$2*(V75-1)</f>
        <v>2</v>
      </c>
      <c r="V75" s="3">
        <v>11</v>
      </c>
    </row>
    <row r="76" spans="4:22" x14ac:dyDescent="0.3">
      <c r="D76" s="7">
        <v>10</v>
      </c>
      <c r="E76" s="49">
        <f t="shared" si="190"/>
        <v>1.8</v>
      </c>
      <c r="F76" s="42">
        <f t="shared" ref="F76:T76" si="193">(F59^2+F42^2)^0.5</f>
        <v>10.001004223384641</v>
      </c>
      <c r="G76" s="42">
        <f t="shared" si="193"/>
        <v>9.8800549307964314</v>
      </c>
      <c r="H76" s="42">
        <f t="shared" si="193"/>
        <v>9.7199513800133417</v>
      </c>
      <c r="I76" s="42">
        <f t="shared" si="193"/>
        <v>9.4750887110298674</v>
      </c>
      <c r="J76" s="42">
        <f t="shared" si="193"/>
        <v>9.0962195216686457</v>
      </c>
      <c r="K76" s="42">
        <f t="shared" si="193"/>
        <v>8.5618001972616344</v>
      </c>
      <c r="L76" s="42">
        <f t="shared" si="193"/>
        <v>7.9646175766235086</v>
      </c>
      <c r="M76" s="42">
        <f t="shared" si="193"/>
        <v>7.3840996045981981</v>
      </c>
      <c r="N76" s="42">
        <f t="shared" si="193"/>
        <v>6.862594869856359</v>
      </c>
      <c r="O76" s="42">
        <f t="shared" si="193"/>
        <v>6.414637964491245</v>
      </c>
      <c r="P76" s="42">
        <f t="shared" si="193"/>
        <v>6.0385208423173218</v>
      </c>
      <c r="Q76" s="42">
        <f t="shared" si="193"/>
        <v>5.7241257437096937</v>
      </c>
      <c r="R76" s="42">
        <f t="shared" si="193"/>
        <v>5.4574553667871752</v>
      </c>
      <c r="S76" s="42">
        <f t="shared" si="193"/>
        <v>5.2230430353404609</v>
      </c>
      <c r="T76" s="42">
        <f t="shared" si="193"/>
        <v>5.0050894732010871</v>
      </c>
      <c r="U76" s="49">
        <f t="shared" si="192"/>
        <v>1.8</v>
      </c>
      <c r="V76" s="3">
        <v>10</v>
      </c>
    </row>
    <row r="77" spans="4:22" x14ac:dyDescent="0.3">
      <c r="D77" s="7">
        <v>9</v>
      </c>
      <c r="E77" s="49">
        <f t="shared" si="190"/>
        <v>1.6</v>
      </c>
      <c r="F77" s="42">
        <f t="shared" ref="F77:T77" si="194">(F60^2+F43^2)^0.5</f>
        <v>10.002941145217523</v>
      </c>
      <c r="G77" s="42">
        <f t="shared" si="194"/>
        <v>9.9432741372427049</v>
      </c>
      <c r="H77" s="42">
        <f t="shared" si="194"/>
        <v>9.8540853718829524</v>
      </c>
      <c r="I77" s="42">
        <f t="shared" si="194"/>
        <v>9.6863560551963062</v>
      </c>
      <c r="J77" s="42">
        <f t="shared" si="194"/>
        <v>9.3484488580611345</v>
      </c>
      <c r="K77" s="42">
        <f t="shared" si="194"/>
        <v>8.7091298861184718</v>
      </c>
      <c r="L77" s="42">
        <f t="shared" si="194"/>
        <v>8.0080175290614282</v>
      </c>
      <c r="M77" s="42">
        <f t="shared" si="194"/>
        <v>7.3613724446305504</v>
      </c>
      <c r="N77" s="42">
        <f t="shared" si="194"/>
        <v>6.8071988686818639</v>
      </c>
      <c r="O77" s="42">
        <f t="shared" si="194"/>
        <v>6.3493259124454413</v>
      </c>
      <c r="P77" s="42">
        <f t="shared" si="194"/>
        <v>5.9775372775488327</v>
      </c>
      <c r="Q77" s="42">
        <f t="shared" si="194"/>
        <v>5.6760373087563494</v>
      </c>
      <c r="R77" s="42">
        <f t="shared" si="194"/>
        <v>5.4272810279682915</v>
      </c>
      <c r="S77" s="42">
        <f t="shared" si="194"/>
        <v>5.2138022092092342</v>
      </c>
      <c r="T77" s="42">
        <f t="shared" si="194"/>
        <v>5.018942591889533</v>
      </c>
      <c r="U77" s="49">
        <f t="shared" si="192"/>
        <v>1.6</v>
      </c>
      <c r="V77" s="3">
        <v>9</v>
      </c>
    </row>
    <row r="78" spans="4:22" x14ac:dyDescent="0.3">
      <c r="D78" s="7">
        <v>8</v>
      </c>
      <c r="E78" s="49">
        <f t="shared" si="190"/>
        <v>1.4000000000000001</v>
      </c>
      <c r="F78" s="42">
        <f t="shared" ref="F78:T78" si="195">(F61^2+F44^2)^0.5</f>
        <v>10.003463390005829</v>
      </c>
      <c r="G78" s="42">
        <f t="shared" si="195"/>
        <v>10.037711407929535</v>
      </c>
      <c r="H78" s="42">
        <f t="shared" si="195"/>
        <v>10.072321197693487</v>
      </c>
      <c r="I78" s="42">
        <f t="shared" si="195"/>
        <v>10.082652369949116</v>
      </c>
      <c r="J78" s="42">
        <f t="shared" si="195"/>
        <v>9.9360347709261312</v>
      </c>
      <c r="K78" s="42">
        <f t="shared" si="195"/>
        <v>8.9760965147078888</v>
      </c>
      <c r="L78" s="42">
        <f t="shared" si="195"/>
        <v>8.0563024495108628</v>
      </c>
      <c r="M78" s="42">
        <f t="shared" si="195"/>
        <v>7.2964932143533252</v>
      </c>
      <c r="N78" s="42">
        <f t="shared" si="195"/>
        <v>6.6944867212865686</v>
      </c>
      <c r="O78" s="42">
        <f t="shared" si="195"/>
        <v>6.2264965262676188</v>
      </c>
      <c r="P78" s="42">
        <f>(P61^2+P44^2)^0.5</f>
        <v>5.8664831656021788</v>
      </c>
      <c r="Q78" s="42">
        <f t="shared" si="195"/>
        <v>5.5893773092687375</v>
      </c>
      <c r="R78" s="42">
        <f t="shared" si="195"/>
        <v>5.37206858811017</v>
      </c>
      <c r="S78" s="42">
        <f t="shared" si="195"/>
        <v>5.1940627408181577</v>
      </c>
      <c r="T78" s="42">
        <f t="shared" si="195"/>
        <v>5.0375712997471478</v>
      </c>
      <c r="U78" s="49">
        <f t="shared" si="192"/>
        <v>1.4000000000000001</v>
      </c>
      <c r="V78" s="3">
        <v>8</v>
      </c>
    </row>
    <row r="79" spans="4:22" x14ac:dyDescent="0.3">
      <c r="D79" s="7">
        <v>7</v>
      </c>
      <c r="E79" s="49">
        <f t="shared" si="190"/>
        <v>1.2000000000000002</v>
      </c>
      <c r="F79" s="42">
        <f t="shared" ref="F79:T79" si="196">(F62^2+F45^2)^0.5</f>
        <v>10.001568396623782</v>
      </c>
      <c r="G79" s="42">
        <f t="shared" si="196"/>
        <v>10.134050963440176</v>
      </c>
      <c r="H79" s="42">
        <f t="shared" si="196"/>
        <v>10.324215095189517</v>
      </c>
      <c r="I79" s="42">
        <f t="shared" si="196"/>
        <v>10.664754387856894</v>
      </c>
      <c r="J79" s="42">
        <f t="shared" si="196"/>
        <v>11.399983677977335</v>
      </c>
      <c r="K79" s="42">
        <f t="shared" si="196"/>
        <v>9.3340322774938222</v>
      </c>
      <c r="L79" s="42">
        <f t="shared" si="196"/>
        <v>8.0421655197937021</v>
      </c>
      <c r="M79" s="42">
        <f t="shared" si="196"/>
        <v>7.141558716294103</v>
      </c>
      <c r="N79" s="42">
        <f t="shared" si="196"/>
        <v>6.494598548399412</v>
      </c>
      <c r="O79" s="42">
        <f t="shared" si="196"/>
        <v>6.02735885927809</v>
      </c>
      <c r="P79" s="42">
        <f t="shared" si="196"/>
        <v>5.6932307389851111</v>
      </c>
      <c r="Q79" s="42">
        <f t="shared" si="196"/>
        <v>5.4560687289471712</v>
      </c>
      <c r="R79" s="42">
        <f t="shared" si="196"/>
        <v>5.2858814783333852</v>
      </c>
      <c r="S79" s="42">
        <f t="shared" si="196"/>
        <v>5.1585209218981563</v>
      </c>
      <c r="T79" s="42">
        <f t="shared" si="196"/>
        <v>5.0552198717551944</v>
      </c>
      <c r="U79" s="49">
        <f t="shared" si="192"/>
        <v>1.2000000000000002</v>
      </c>
      <c r="V79" s="3">
        <v>7</v>
      </c>
    </row>
    <row r="80" spans="4:22" x14ac:dyDescent="0.3">
      <c r="D80" s="7">
        <v>6</v>
      </c>
      <c r="E80" s="49">
        <f t="shared" si="190"/>
        <v>1</v>
      </c>
      <c r="F80" s="42">
        <f t="shared" ref="F80:T85" si="197">(F63^2+F46^2)^0.5</f>
        <v>10</v>
      </c>
      <c r="G80" s="42">
        <f t="shared" si="197"/>
        <v>10.177116888928248</v>
      </c>
      <c r="H80" s="42">
        <f t="shared" si="197"/>
        <v>10.445257010076951</v>
      </c>
      <c r="I80" s="42">
        <f t="shared" si="197"/>
        <v>10.970738001993556</v>
      </c>
      <c r="J80" s="42">
        <f t="shared" si="197"/>
        <v>12.622783066560663</v>
      </c>
      <c r="K80" s="42">
        <f t="shared" si="197"/>
        <v>9.502938540169362</v>
      </c>
      <c r="L80" s="42">
        <f t="shared" si="197"/>
        <v>7.8147986837989798</v>
      </c>
      <c r="M80" s="42">
        <f t="shared" si="197"/>
        <v>6.8275907271639644</v>
      </c>
      <c r="N80" s="42">
        <f t="shared" si="197"/>
        <v>6.1735955186581926</v>
      </c>
      <c r="O80" s="42">
        <f t="shared" si="197"/>
        <v>5.7318530973134676</v>
      </c>
      <c r="P80" s="42">
        <f t="shared" si="197"/>
        <v>5.445156022224535</v>
      </c>
      <c r="Q80" s="42">
        <f t="shared" si="197"/>
        <v>5.2682940416129203</v>
      </c>
      <c r="R80" s="42">
        <f t="shared" si="197"/>
        <v>5.1633973791452448</v>
      </c>
      <c r="S80" s="42">
        <f t="shared" si="197"/>
        <v>5.1022350730243149</v>
      </c>
      <c r="T80" s="42">
        <f t="shared" si="197"/>
        <v>5.0657636062621032</v>
      </c>
      <c r="U80" s="49">
        <f t="shared" si="192"/>
        <v>1</v>
      </c>
      <c r="V80" s="3">
        <v>6</v>
      </c>
    </row>
    <row r="81" spans="4:22" x14ac:dyDescent="0.3">
      <c r="D81" s="7">
        <v>5</v>
      </c>
      <c r="E81" s="49">
        <f t="shared" si="190"/>
        <v>0.8</v>
      </c>
      <c r="F81" s="51"/>
      <c r="G81" s="51"/>
      <c r="H81" s="51"/>
      <c r="I81" s="51"/>
      <c r="J81" s="51"/>
      <c r="K81" s="42">
        <f t="shared" si="197"/>
        <v>8.3148024385082397</v>
      </c>
      <c r="L81" s="42">
        <f t="shared" si="197"/>
        <v>7.1302129225051338</v>
      </c>
      <c r="M81" s="42">
        <f t="shared" si="197"/>
        <v>6.3054241143954739</v>
      </c>
      <c r="N81" s="42">
        <f t="shared" si="197"/>
        <v>5.7146415334500071</v>
      </c>
      <c r="O81" s="42">
        <f t="shared" si="197"/>
        <v>5.3261859671058529</v>
      </c>
      <c r="P81" s="42">
        <f t="shared" si="197"/>
        <v>5.1129177940374904</v>
      </c>
      <c r="Q81" s="42">
        <f t="shared" si="197"/>
        <v>5.0218727356465607</v>
      </c>
      <c r="R81" s="42">
        <f t="shared" si="197"/>
        <v>5.0030328113236102</v>
      </c>
      <c r="S81" s="42">
        <f t="shared" si="197"/>
        <v>5.0231873122084032</v>
      </c>
      <c r="T81" s="42">
        <f t="shared" si="197"/>
        <v>5.0646355893256452</v>
      </c>
      <c r="U81" s="49">
        <f t="shared" si="192"/>
        <v>0.8</v>
      </c>
      <c r="V81" s="3">
        <v>5</v>
      </c>
    </row>
    <row r="82" spans="4:22" x14ac:dyDescent="0.3">
      <c r="D82" s="7">
        <v>4</v>
      </c>
      <c r="E82" s="49">
        <f t="shared" si="190"/>
        <v>0.60000000000000009</v>
      </c>
      <c r="F82" s="51"/>
      <c r="G82" s="51"/>
      <c r="H82" s="51"/>
      <c r="I82" s="51"/>
      <c r="J82" s="51"/>
      <c r="K82" s="51"/>
      <c r="L82" s="42">
        <f t="shared" si="197"/>
        <v>6.4054620384585101</v>
      </c>
      <c r="M82" s="42">
        <f t="shared" si="197"/>
        <v>5.680773968622213</v>
      </c>
      <c r="N82" s="42">
        <f t="shared" si="197"/>
        <v>5.1423310566386213</v>
      </c>
      <c r="O82" s="42">
        <f t="shared" si="197"/>
        <v>4.802371819511853</v>
      </c>
      <c r="P82" s="42">
        <f t="shared" si="197"/>
        <v>4.6916029836159323</v>
      </c>
      <c r="Q82" s="42">
        <f t="shared" si="197"/>
        <v>4.7204458367835667</v>
      </c>
      <c r="R82" s="42">
        <f t="shared" si="197"/>
        <v>4.8112604592610557</v>
      </c>
      <c r="S82" s="42">
        <f t="shared" si="197"/>
        <v>4.9255056458326196</v>
      </c>
      <c r="T82" s="42">
        <f t="shared" si="197"/>
        <v>5.0509519297793792</v>
      </c>
      <c r="U82" s="49">
        <f t="shared" si="192"/>
        <v>0.60000000000000009</v>
      </c>
      <c r="V82" s="3">
        <v>4</v>
      </c>
    </row>
    <row r="83" spans="4:22" x14ac:dyDescent="0.3">
      <c r="D83" s="7">
        <v>3</v>
      </c>
      <c r="E83" s="49">
        <f t="shared" si="190"/>
        <v>0.4</v>
      </c>
      <c r="F83" s="51"/>
      <c r="G83" s="51"/>
      <c r="H83" s="51"/>
      <c r="I83" s="51"/>
      <c r="J83" s="51"/>
      <c r="K83" s="51"/>
      <c r="L83" s="51"/>
      <c r="M83" s="42">
        <f t="shared" si="197"/>
        <v>5.0809039166760286</v>
      </c>
      <c r="N83" s="42">
        <f t="shared" si="197"/>
        <v>4.4816737994987728</v>
      </c>
      <c r="O83" s="42">
        <f t="shared" si="197"/>
        <v>4.1287117450207083</v>
      </c>
      <c r="P83" s="42">
        <f t="shared" si="197"/>
        <v>4.1802355309103412</v>
      </c>
      <c r="Q83" s="42">
        <f t="shared" si="197"/>
        <v>4.3839092606977204</v>
      </c>
      <c r="R83" s="42">
        <f t="shared" si="197"/>
        <v>4.6090561793870037</v>
      </c>
      <c r="S83" s="42">
        <f t="shared" si="197"/>
        <v>4.8229000881812567</v>
      </c>
      <c r="T83" s="42">
        <f t="shared" si="197"/>
        <v>5.0291045544624104</v>
      </c>
      <c r="U83" s="49">
        <f t="shared" si="192"/>
        <v>0.4</v>
      </c>
      <c r="V83" s="3">
        <v>3</v>
      </c>
    </row>
    <row r="84" spans="4:22" x14ac:dyDescent="0.3">
      <c r="D84" s="7">
        <v>2</v>
      </c>
      <c r="E84" s="49">
        <f>$B$2*(D84-1)</f>
        <v>0.2</v>
      </c>
      <c r="F84" s="51"/>
      <c r="G84" s="51"/>
      <c r="H84" s="51"/>
      <c r="I84" s="51"/>
      <c r="J84" s="51"/>
      <c r="K84" s="51"/>
      <c r="L84" s="51"/>
      <c r="M84" s="53"/>
      <c r="N84" s="42">
        <f t="shared" si="197"/>
        <v>3.8258036441524341</v>
      </c>
      <c r="O84" s="42">
        <f t="shared" si="197"/>
        <v>3.181694936528483</v>
      </c>
      <c r="P84" s="42">
        <f t="shared" si="197"/>
        <v>3.6103767066098298</v>
      </c>
      <c r="Q84" s="42">
        <f t="shared" si="197"/>
        <v>4.0725731562577616</v>
      </c>
      <c r="R84" s="42">
        <f t="shared" si="197"/>
        <v>4.4404155059979065</v>
      </c>
      <c r="S84" s="42">
        <f t="shared" si="197"/>
        <v>4.7402981536882498</v>
      </c>
      <c r="T84" s="42">
        <f t="shared" si="197"/>
        <v>5.0085329229208799</v>
      </c>
      <c r="U84" s="49">
        <f>$B$2*(V84-1)</f>
        <v>0.2</v>
      </c>
      <c r="V84" s="3">
        <v>2</v>
      </c>
    </row>
    <row r="85" spans="4:22" x14ac:dyDescent="0.3">
      <c r="D85" s="7">
        <v>1</v>
      </c>
      <c r="E85" s="49">
        <v>0</v>
      </c>
      <c r="F85" s="51"/>
      <c r="G85" s="51"/>
      <c r="H85" s="51"/>
      <c r="I85" s="51"/>
      <c r="J85" s="51"/>
      <c r="K85" s="51"/>
      <c r="L85" s="51"/>
      <c r="M85" s="51"/>
      <c r="N85" s="51"/>
      <c r="O85" s="42">
        <f t="shared" si="197"/>
        <v>2.1832322132770687</v>
      </c>
      <c r="P85" s="42">
        <f t="shared" si="197"/>
        <v>3.2800236595186902</v>
      </c>
      <c r="Q85" s="42">
        <f t="shared" si="197"/>
        <v>3.930764322142978</v>
      </c>
      <c r="R85" s="42">
        <f t="shared" si="197"/>
        <v>4.3713258009488056</v>
      </c>
      <c r="S85" s="42">
        <f t="shared" si="197"/>
        <v>4.7077637257588139</v>
      </c>
      <c r="T85" s="42">
        <f t="shared" si="197"/>
        <v>5</v>
      </c>
      <c r="U85" s="49">
        <v>0</v>
      </c>
      <c r="V85" s="3">
        <v>1</v>
      </c>
    </row>
    <row r="86" spans="4:22" x14ac:dyDescent="0.3">
      <c r="D86" s="59"/>
      <c r="E86" s="60"/>
      <c r="F86" s="50">
        <f>$B$2*(F87-1)</f>
        <v>0</v>
      </c>
      <c r="G86" s="50">
        <f t="shared" ref="G86" si="198">$B$2*(G87-1)</f>
        <v>0.2</v>
      </c>
      <c r="H86" s="50">
        <f t="shared" ref="H86" si="199">$B$2*(H87-1)</f>
        <v>0.4</v>
      </c>
      <c r="I86" s="50">
        <f t="shared" ref="I86" si="200">$B$2*(I87-1)</f>
        <v>0.60000000000000009</v>
      </c>
      <c r="J86" s="50">
        <f t="shared" ref="J86" si="201">$B$2*(J87-1)</f>
        <v>0.8</v>
      </c>
      <c r="K86" s="50">
        <f t="shared" ref="K86" si="202">$B$2*(K87-1)</f>
        <v>1</v>
      </c>
      <c r="L86" s="50">
        <f t="shared" ref="L86" si="203">$B$2*(L87-1)</f>
        <v>1.2000000000000002</v>
      </c>
      <c r="M86" s="50">
        <f t="shared" ref="M86" si="204">$B$2*(M87-1)</f>
        <v>1.4000000000000001</v>
      </c>
      <c r="N86" s="50">
        <f t="shared" ref="N86" si="205">$B$2*(N87-1)</f>
        <v>1.6</v>
      </c>
      <c r="O86" s="39">
        <f t="shared" ref="O86" si="206">$B$2*(O87-1)</f>
        <v>1.8</v>
      </c>
      <c r="P86" s="39">
        <f t="shared" ref="P86" si="207">$B$2*(P87-1)</f>
        <v>2</v>
      </c>
      <c r="Q86" s="39">
        <f t="shared" ref="Q86" si="208">$B$2*(Q87-1)</f>
        <v>2.2000000000000002</v>
      </c>
      <c r="R86" s="39">
        <f t="shared" ref="R86" si="209">$B$2*(R87-1)</f>
        <v>2.4000000000000004</v>
      </c>
      <c r="S86" s="39">
        <f t="shared" ref="S86" si="210">$B$2*(S87-1)</f>
        <v>2.6</v>
      </c>
      <c r="T86" s="39">
        <f t="shared" ref="T86" si="211">$B$2*(T87-1)</f>
        <v>2.8000000000000003</v>
      </c>
      <c r="U86" s="60"/>
      <c r="V86" s="62"/>
    </row>
    <row r="87" spans="4:22" x14ac:dyDescent="0.3">
      <c r="D87" s="61"/>
      <c r="E87" s="58"/>
      <c r="F87" s="3">
        <v>1</v>
      </c>
      <c r="G87" s="3">
        <v>2</v>
      </c>
      <c r="H87" s="3">
        <v>3</v>
      </c>
      <c r="I87" s="3">
        <v>4</v>
      </c>
      <c r="J87" s="3">
        <v>5</v>
      </c>
      <c r="K87" s="3">
        <v>6</v>
      </c>
      <c r="L87" s="3">
        <v>7</v>
      </c>
      <c r="M87" s="3">
        <v>8</v>
      </c>
      <c r="N87" s="3">
        <v>9</v>
      </c>
      <c r="O87" s="3">
        <v>10</v>
      </c>
      <c r="P87" s="3">
        <v>11</v>
      </c>
      <c r="Q87" s="3">
        <v>12</v>
      </c>
      <c r="R87" s="3">
        <v>13</v>
      </c>
      <c r="S87" s="3">
        <v>14</v>
      </c>
      <c r="T87" s="3">
        <v>15</v>
      </c>
      <c r="U87" s="61"/>
      <c r="V87" s="63"/>
    </row>
  </sheetData>
  <mergeCells count="5">
    <mergeCell ref="D3:E4"/>
    <mergeCell ref="D21:E22"/>
    <mergeCell ref="D39:E40"/>
    <mergeCell ref="D56:E57"/>
    <mergeCell ref="D73:E74"/>
  </mergeCells>
  <conditionalFormatting sqref="F5:T9 F10:L10 K11:L11 L11:L12 M10:M13 N10:N14 O10:T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9:L30 K29 M29:M31 N29:N32 F23:T28 O29:T3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7:L47 M49:N49 O51:T51 L47:S48 N49:S50 F41:T41 F42:S46 T42:T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S66 F58:T58 K64:S64 L65:S65 N66:S67 O67:S68 F59:S63 T59:T6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5:T80 K81:T81 L82:T82 M83:T83 N84:T84 O85:T8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:T15">
    <cfRule type="colorScale" priority="6">
      <colorScale>
        <cfvo type="min"/>
        <cfvo type="percentile" val="50"/>
        <cfvo type="max"/>
        <color rgb="FFFF0000"/>
        <color rgb="FFFFFF00"/>
        <color rgb="FF00B0F0"/>
      </colorScale>
    </cfRule>
    <cfRule type="colorScale" priority="5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23:T33">
    <cfRule type="colorScale" priority="4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41:T51">
    <cfRule type="colorScale" priority="3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58:T68"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75:T85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A203"/>
  <sheetViews>
    <sheetView tabSelected="1" topLeftCell="A67" zoomScale="55" zoomScaleNormal="55" workbookViewId="0">
      <selection activeCell="V4" sqref="V4"/>
    </sheetView>
  </sheetViews>
  <sheetFormatPr defaultRowHeight="14.4" x14ac:dyDescent="0.3"/>
  <cols>
    <col min="4" max="4" width="7.5546875" customWidth="1"/>
    <col min="5" max="5" width="11.44140625" customWidth="1"/>
    <col min="6" max="6" width="12.44140625" customWidth="1"/>
    <col min="56" max="56" width="11.88671875" bestFit="1" customWidth="1"/>
  </cols>
  <sheetData>
    <row r="1" spans="1:45" x14ac:dyDescent="0.3">
      <c r="A1" s="96" t="s">
        <v>9</v>
      </c>
      <c r="B1" s="96"/>
      <c r="C1" s="20"/>
      <c r="D1" s="20"/>
      <c r="E1" s="97" t="s">
        <v>12</v>
      </c>
      <c r="F1" s="97"/>
      <c r="G1" s="20"/>
      <c r="H1" s="98" t="s">
        <v>13</v>
      </c>
      <c r="I1" s="98"/>
      <c r="J1" s="20"/>
      <c r="K1" s="99" t="s">
        <v>14</v>
      </c>
      <c r="L1" s="99"/>
      <c r="M1" s="20"/>
      <c r="N1" s="100" t="s">
        <v>15</v>
      </c>
      <c r="O1" s="100"/>
      <c r="P1" s="20"/>
      <c r="Q1" s="83" t="s">
        <v>30</v>
      </c>
      <c r="R1" s="83"/>
    </row>
    <row r="2" spans="1:45" x14ac:dyDescent="0.3">
      <c r="A2" s="96"/>
      <c r="B2" s="96"/>
      <c r="C2" s="20"/>
      <c r="D2" s="20"/>
      <c r="E2" s="75" t="s">
        <v>4</v>
      </c>
      <c r="F2" s="76">
        <v>460</v>
      </c>
      <c r="G2" s="20"/>
      <c r="H2" s="78" t="s">
        <v>18</v>
      </c>
      <c r="I2" s="79">
        <v>300</v>
      </c>
      <c r="J2" s="20"/>
      <c r="K2" s="80" t="s">
        <v>6</v>
      </c>
      <c r="L2" s="81">
        <f>F4/(B5^2)</f>
        <v>4139999.9999999991</v>
      </c>
      <c r="M2" s="20"/>
      <c r="N2" s="82" t="s">
        <v>6</v>
      </c>
      <c r="O2" s="82">
        <f>F4/(B6^2)</f>
        <v>536544</v>
      </c>
      <c r="P2" s="20"/>
      <c r="Q2" s="83" t="s">
        <v>31</v>
      </c>
      <c r="R2" s="83">
        <v>600</v>
      </c>
    </row>
    <row r="3" spans="1:45" ht="15" customHeight="1" x14ac:dyDescent="0.3">
      <c r="A3" s="72" t="s">
        <v>0</v>
      </c>
      <c r="B3" s="72">
        <v>0.1</v>
      </c>
      <c r="C3" s="20"/>
      <c r="D3" s="20"/>
      <c r="E3" s="75" t="s">
        <v>5</v>
      </c>
      <c r="F3" s="76">
        <v>7800</v>
      </c>
      <c r="G3" s="20"/>
      <c r="H3" s="78" t="s">
        <v>19</v>
      </c>
      <c r="I3" s="79">
        <v>100</v>
      </c>
      <c r="J3" s="20"/>
      <c r="K3" s="80" t="s">
        <v>7</v>
      </c>
      <c r="L3" s="81">
        <f>(2*F4)/(B5^2)+(F3*F2)/B8</f>
        <v>11867999.999999998</v>
      </c>
      <c r="M3" s="20"/>
      <c r="N3" s="82" t="s">
        <v>7</v>
      </c>
      <c r="O3" s="82">
        <f>(2*F4)/(B6^2)+(F3*F2)/B8</f>
        <v>4661088</v>
      </c>
      <c r="P3" s="20"/>
      <c r="Q3" s="83" t="s">
        <v>32</v>
      </c>
      <c r="R3" s="83">
        <v>650</v>
      </c>
    </row>
    <row r="4" spans="1:45" ht="15" customHeight="1" x14ac:dyDescent="0.3">
      <c r="A4" s="72" t="s">
        <v>10</v>
      </c>
      <c r="B4" s="72">
        <v>0.5</v>
      </c>
      <c r="C4" s="20"/>
      <c r="D4" s="20"/>
      <c r="E4" s="75" t="s">
        <v>17</v>
      </c>
      <c r="F4" s="76">
        <v>46</v>
      </c>
      <c r="G4" s="20"/>
      <c r="H4" s="20"/>
      <c r="I4" s="20"/>
      <c r="J4" s="20"/>
      <c r="K4" s="80" t="s">
        <v>8</v>
      </c>
      <c r="L4" s="81">
        <f>L2</f>
        <v>4139999.9999999991</v>
      </c>
      <c r="M4" s="20"/>
      <c r="N4" s="82" t="s">
        <v>8</v>
      </c>
      <c r="O4" s="82">
        <f>O2</f>
        <v>536544</v>
      </c>
      <c r="P4" s="20"/>
      <c r="Q4" s="83" t="s">
        <v>33</v>
      </c>
      <c r="R4" s="83">
        <v>950</v>
      </c>
    </row>
    <row r="5" spans="1:45" ht="15" customHeight="1" x14ac:dyDescent="0.25">
      <c r="A5" s="72" t="s">
        <v>1</v>
      </c>
      <c r="B5" s="73">
        <f>B3/30</f>
        <v>3.3333333333333335E-3</v>
      </c>
      <c r="C5" s="20"/>
      <c r="D5" s="20"/>
      <c r="E5" s="77" t="s">
        <v>36</v>
      </c>
      <c r="F5" s="77">
        <v>800</v>
      </c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45" ht="15" customHeight="1" x14ac:dyDescent="0.3">
      <c r="A6" s="72" t="s">
        <v>11</v>
      </c>
      <c r="B6" s="73">
        <f>B4/54</f>
        <v>9.2592592592592587E-3</v>
      </c>
      <c r="C6" s="21" t="s">
        <v>16</v>
      </c>
      <c r="D6" s="20"/>
      <c r="E6" s="77" t="s">
        <v>37</v>
      </c>
      <c r="F6" s="77">
        <v>600</v>
      </c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45" ht="15" customHeight="1" x14ac:dyDescent="0.25">
      <c r="A7" s="72" t="s">
        <v>3</v>
      </c>
      <c r="B7" s="72">
        <v>300</v>
      </c>
      <c r="C7" s="20">
        <v>301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45" ht="15" customHeight="1" x14ac:dyDescent="0.25">
      <c r="A8" s="72" t="s">
        <v>2</v>
      </c>
      <c r="B8" s="74">
        <v>1</v>
      </c>
    </row>
    <row r="9" spans="1:45" ht="15" customHeight="1" x14ac:dyDescent="0.3">
      <c r="E9" s="92" t="s">
        <v>20</v>
      </c>
      <c r="F9" s="93"/>
      <c r="G9" s="5">
        <v>1</v>
      </c>
      <c r="H9" s="5">
        <v>2</v>
      </c>
      <c r="I9" s="5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  <c r="AD9" s="5">
        <v>24</v>
      </c>
      <c r="AE9" s="5">
        <v>25</v>
      </c>
      <c r="AF9" s="5">
        <v>26</v>
      </c>
      <c r="AG9" s="5">
        <v>27</v>
      </c>
      <c r="AH9" s="5">
        <v>28</v>
      </c>
      <c r="AI9" s="5">
        <v>29</v>
      </c>
      <c r="AJ9" s="5">
        <v>30</v>
      </c>
      <c r="AK9" s="5">
        <v>31</v>
      </c>
      <c r="AL9" s="18"/>
      <c r="AM9" s="19"/>
    </row>
    <row r="10" spans="1:45" ht="15" customHeight="1" x14ac:dyDescent="0.3">
      <c r="E10" s="92" t="s">
        <v>21</v>
      </c>
      <c r="F10" s="93"/>
      <c r="G10" s="17">
        <v>0</v>
      </c>
      <c r="H10" s="24">
        <f>$B$5*(H9-1)</f>
        <v>3.3333333333333335E-3</v>
      </c>
      <c r="I10" s="24">
        <f t="shared" ref="I10:AJ10" si="0">$B$5*(I9-1)</f>
        <v>6.6666666666666671E-3</v>
      </c>
      <c r="J10" s="24">
        <f t="shared" si="0"/>
        <v>0.01</v>
      </c>
      <c r="K10" s="24">
        <f t="shared" si="0"/>
        <v>1.3333333333333334E-2</v>
      </c>
      <c r="L10" s="24">
        <f t="shared" si="0"/>
        <v>1.6666666666666666E-2</v>
      </c>
      <c r="M10" s="24">
        <f t="shared" si="0"/>
        <v>0.02</v>
      </c>
      <c r="N10" s="24">
        <f t="shared" si="0"/>
        <v>2.3333333333333334E-2</v>
      </c>
      <c r="O10" s="24">
        <f t="shared" si="0"/>
        <v>2.6666666666666668E-2</v>
      </c>
      <c r="P10" s="24">
        <f t="shared" si="0"/>
        <v>3.0000000000000002E-2</v>
      </c>
      <c r="Q10" s="6">
        <f t="shared" si="0"/>
        <v>3.3333333333333333E-2</v>
      </c>
      <c r="R10" s="6">
        <f t="shared" si="0"/>
        <v>3.6666666666666667E-2</v>
      </c>
      <c r="S10" s="6">
        <f t="shared" si="0"/>
        <v>0.04</v>
      </c>
      <c r="T10" s="6">
        <f t="shared" si="0"/>
        <v>4.3333333333333335E-2</v>
      </c>
      <c r="U10" s="6">
        <f t="shared" si="0"/>
        <v>4.6666666666666669E-2</v>
      </c>
      <c r="V10" s="6">
        <f t="shared" si="0"/>
        <v>0.05</v>
      </c>
      <c r="W10" s="6">
        <f t="shared" si="0"/>
        <v>5.3333333333333337E-2</v>
      </c>
      <c r="X10" s="6">
        <f t="shared" si="0"/>
        <v>5.6666666666666671E-2</v>
      </c>
      <c r="Y10" s="6">
        <f t="shared" si="0"/>
        <v>6.0000000000000005E-2</v>
      </c>
      <c r="Z10" s="6">
        <f t="shared" si="0"/>
        <v>6.3333333333333339E-2</v>
      </c>
      <c r="AA10" s="6">
        <f t="shared" si="0"/>
        <v>6.6666666666666666E-2</v>
      </c>
      <c r="AB10" s="6">
        <f t="shared" si="0"/>
        <v>7.0000000000000007E-2</v>
      </c>
      <c r="AC10" s="24">
        <f t="shared" si="0"/>
        <v>7.3333333333333334E-2</v>
      </c>
      <c r="AD10" s="24">
        <f t="shared" si="0"/>
        <v>7.6666666666666675E-2</v>
      </c>
      <c r="AE10" s="24">
        <f t="shared" si="0"/>
        <v>0.08</v>
      </c>
      <c r="AF10" s="24">
        <f t="shared" si="0"/>
        <v>8.3333333333333343E-2</v>
      </c>
      <c r="AG10" s="24">
        <f t="shared" si="0"/>
        <v>8.666666666666667E-2</v>
      </c>
      <c r="AH10" s="24">
        <f t="shared" si="0"/>
        <v>9.0000000000000011E-2</v>
      </c>
      <c r="AI10" s="24">
        <f t="shared" si="0"/>
        <v>9.3333333333333338E-2</v>
      </c>
      <c r="AJ10" s="24">
        <f t="shared" si="0"/>
        <v>9.6666666666666679E-2</v>
      </c>
      <c r="AK10" s="24">
        <f>$B$5*(AK9-1)</f>
        <v>0.1</v>
      </c>
      <c r="AL10" s="4"/>
      <c r="AM10" s="14"/>
    </row>
    <row r="11" spans="1:45" ht="50.1" customHeight="1" x14ac:dyDescent="0.25">
      <c r="E11" s="5">
        <v>55</v>
      </c>
      <c r="F11" s="22">
        <f t="shared" ref="F11:F34" si="1">$B$6*(E11-1)</f>
        <v>0.5</v>
      </c>
      <c r="G11" s="32">
        <f t="shared" ref="G11:O20" si="2">$R$2</f>
        <v>600</v>
      </c>
      <c r="H11" s="33">
        <f t="shared" si="2"/>
        <v>600</v>
      </c>
      <c r="I11" s="33">
        <f t="shared" si="2"/>
        <v>600</v>
      </c>
      <c r="J11" s="33">
        <f t="shared" si="2"/>
        <v>600</v>
      </c>
      <c r="K11" s="33">
        <f t="shared" si="2"/>
        <v>600</v>
      </c>
      <c r="L11" s="33">
        <f t="shared" si="2"/>
        <v>600</v>
      </c>
      <c r="M11" s="33">
        <f t="shared" si="2"/>
        <v>600</v>
      </c>
      <c r="N11" s="33">
        <f t="shared" si="2"/>
        <v>600</v>
      </c>
      <c r="O11" s="34">
        <f t="shared" si="2"/>
        <v>600</v>
      </c>
      <c r="P11" s="23">
        <v>1500</v>
      </c>
      <c r="Q11" s="23">
        <v>1500</v>
      </c>
      <c r="R11" s="23">
        <v>1500</v>
      </c>
      <c r="S11" s="23">
        <v>1500</v>
      </c>
      <c r="T11" s="23">
        <v>1500</v>
      </c>
      <c r="U11" s="23">
        <v>1500</v>
      </c>
      <c r="V11" s="23">
        <v>1500</v>
      </c>
      <c r="W11" s="23">
        <v>1500</v>
      </c>
      <c r="X11" s="23">
        <v>1500</v>
      </c>
      <c r="Y11" s="23">
        <v>1500</v>
      </c>
      <c r="Z11" s="23">
        <v>1500</v>
      </c>
      <c r="AA11" s="23">
        <v>1500</v>
      </c>
      <c r="AB11" s="23">
        <v>1500</v>
      </c>
      <c r="AC11" s="33">
        <f t="shared" ref="AC11:AK20" si="3">$R$3</f>
        <v>650</v>
      </c>
      <c r="AD11" s="33">
        <f t="shared" si="3"/>
        <v>650</v>
      </c>
      <c r="AE11" s="33">
        <f t="shared" si="3"/>
        <v>650</v>
      </c>
      <c r="AF11" s="33">
        <f t="shared" si="3"/>
        <v>650</v>
      </c>
      <c r="AG11" s="33">
        <f t="shared" si="3"/>
        <v>650</v>
      </c>
      <c r="AH11" s="33">
        <f t="shared" si="3"/>
        <v>650</v>
      </c>
      <c r="AI11" s="33">
        <f t="shared" si="3"/>
        <v>650</v>
      </c>
      <c r="AJ11" s="33">
        <f t="shared" si="3"/>
        <v>650</v>
      </c>
      <c r="AK11" s="34">
        <f t="shared" si="3"/>
        <v>650</v>
      </c>
      <c r="AL11" s="16">
        <v>55</v>
      </c>
      <c r="AM11" s="6">
        <f t="shared" ref="AM11:AM34" si="4">$B$6*(AL11-1)</f>
        <v>0.5</v>
      </c>
      <c r="AS11">
        <v>0</v>
      </c>
    </row>
    <row r="12" spans="1:45" ht="50.1" customHeight="1" x14ac:dyDescent="0.25">
      <c r="E12" s="5">
        <v>54</v>
      </c>
      <c r="F12" s="22">
        <f t="shared" si="1"/>
        <v>0.4907407407407407</v>
      </c>
      <c r="G12" s="29">
        <f t="shared" si="2"/>
        <v>600</v>
      </c>
      <c r="H12" s="25">
        <f t="shared" si="2"/>
        <v>600</v>
      </c>
      <c r="I12" s="25">
        <f t="shared" si="2"/>
        <v>600</v>
      </c>
      <c r="J12" s="25">
        <f t="shared" si="2"/>
        <v>600</v>
      </c>
      <c r="K12" s="25">
        <f t="shared" si="2"/>
        <v>600</v>
      </c>
      <c r="L12" s="25">
        <f t="shared" si="2"/>
        <v>600</v>
      </c>
      <c r="M12" s="25">
        <f t="shared" si="2"/>
        <v>600</v>
      </c>
      <c r="N12" s="25">
        <f t="shared" si="2"/>
        <v>600</v>
      </c>
      <c r="O12" s="25">
        <f t="shared" si="2"/>
        <v>600</v>
      </c>
      <c r="P12" s="3">
        <v>860.25676525874894</v>
      </c>
      <c r="Q12" s="3">
        <v>869.90973805393605</v>
      </c>
      <c r="R12" s="3">
        <v>876.96554431813058</v>
      </c>
      <c r="S12" s="3">
        <v>882.07108167577985</v>
      </c>
      <c r="T12" s="3">
        <v>885.67521293055052</v>
      </c>
      <c r="U12" s="3">
        <v>888.06810199112726</v>
      </c>
      <c r="V12" s="3">
        <v>889.42477606387683</v>
      </c>
      <c r="W12" s="3">
        <v>889.83036699115655</v>
      </c>
      <c r="X12" s="3">
        <v>889.29171190380998</v>
      </c>
      <c r="Y12" s="3">
        <v>887.7374706166537</v>
      </c>
      <c r="Z12" s="3">
        <v>885.00665647353867</v>
      </c>
      <c r="AA12" s="3">
        <v>880.82340703604734</v>
      </c>
      <c r="AB12" s="3">
        <v>874.78686205375288</v>
      </c>
      <c r="AC12" s="25">
        <f t="shared" si="3"/>
        <v>650</v>
      </c>
      <c r="AD12" s="25">
        <f t="shared" si="3"/>
        <v>650</v>
      </c>
      <c r="AE12" s="25">
        <f t="shared" si="3"/>
        <v>650</v>
      </c>
      <c r="AF12" s="25">
        <f t="shared" si="3"/>
        <v>650</v>
      </c>
      <c r="AG12" s="25">
        <f t="shared" si="3"/>
        <v>650</v>
      </c>
      <c r="AH12" s="25">
        <f t="shared" si="3"/>
        <v>650</v>
      </c>
      <c r="AI12" s="25">
        <f t="shared" si="3"/>
        <v>650</v>
      </c>
      <c r="AJ12" s="25">
        <f t="shared" si="3"/>
        <v>650</v>
      </c>
      <c r="AK12" s="15">
        <f t="shared" si="3"/>
        <v>650</v>
      </c>
      <c r="AL12" s="16">
        <v>54</v>
      </c>
      <c r="AM12" s="6">
        <f t="shared" si="4"/>
        <v>0.4907407407407407</v>
      </c>
    </row>
    <row r="13" spans="1:45" ht="50.1" customHeight="1" x14ac:dyDescent="0.25">
      <c r="E13" s="5">
        <v>53</v>
      </c>
      <c r="F13" s="22">
        <f t="shared" si="1"/>
        <v>0.48148148148148145</v>
      </c>
      <c r="G13" s="29">
        <f t="shared" si="2"/>
        <v>600</v>
      </c>
      <c r="H13" s="25">
        <f t="shared" si="2"/>
        <v>600</v>
      </c>
      <c r="I13" s="25">
        <f t="shared" si="2"/>
        <v>600</v>
      </c>
      <c r="J13" s="25">
        <f t="shared" si="2"/>
        <v>600</v>
      </c>
      <c r="K13" s="25">
        <f t="shared" si="2"/>
        <v>600</v>
      </c>
      <c r="L13" s="25">
        <f t="shared" si="2"/>
        <v>600</v>
      </c>
      <c r="M13" s="25">
        <f t="shared" si="2"/>
        <v>600</v>
      </c>
      <c r="N13" s="25">
        <f t="shared" si="2"/>
        <v>600</v>
      </c>
      <c r="O13" s="25">
        <f t="shared" si="2"/>
        <v>600</v>
      </c>
      <c r="P13" s="3">
        <v>804.86343416296131</v>
      </c>
      <c r="Q13" s="3">
        <v>814.01884385515325</v>
      </c>
      <c r="R13" s="3">
        <v>821.58463964299187</v>
      </c>
      <c r="S13" s="3">
        <v>827.50752966802918</v>
      </c>
      <c r="T13" s="3">
        <v>831.97046126256566</v>
      </c>
      <c r="U13" s="3">
        <v>835.11486723375458</v>
      </c>
      <c r="V13" s="3">
        <v>837.03872557289378</v>
      </c>
      <c r="W13" s="3">
        <v>837.79737088621505</v>
      </c>
      <c r="X13" s="3">
        <v>837.4046668938131</v>
      </c>
      <c r="Y13" s="3">
        <v>835.83419047233133</v>
      </c>
      <c r="Z13" s="3">
        <v>833.02035259130901</v>
      </c>
      <c r="AA13" s="3">
        <v>828.86142484786058</v>
      </c>
      <c r="AB13" s="3">
        <v>823.52160384606884</v>
      </c>
      <c r="AC13" s="25">
        <f t="shared" si="3"/>
        <v>650</v>
      </c>
      <c r="AD13" s="25">
        <f t="shared" si="3"/>
        <v>650</v>
      </c>
      <c r="AE13" s="25">
        <f t="shared" si="3"/>
        <v>650</v>
      </c>
      <c r="AF13" s="25">
        <f t="shared" si="3"/>
        <v>650</v>
      </c>
      <c r="AG13" s="25">
        <f t="shared" si="3"/>
        <v>650</v>
      </c>
      <c r="AH13" s="25">
        <f t="shared" si="3"/>
        <v>650</v>
      </c>
      <c r="AI13" s="25">
        <f t="shared" si="3"/>
        <v>650</v>
      </c>
      <c r="AJ13" s="25">
        <f t="shared" si="3"/>
        <v>650</v>
      </c>
      <c r="AK13" s="15">
        <f t="shared" si="3"/>
        <v>650</v>
      </c>
      <c r="AL13" s="16">
        <v>53</v>
      </c>
      <c r="AM13" s="6">
        <f t="shared" si="4"/>
        <v>0.48148148148148145</v>
      </c>
    </row>
    <row r="14" spans="1:45" ht="50.1" customHeight="1" x14ac:dyDescent="0.25">
      <c r="A14" s="2"/>
      <c r="B14" s="2"/>
      <c r="E14" s="5">
        <v>52</v>
      </c>
      <c r="F14" s="22">
        <f t="shared" si="1"/>
        <v>0.47222222222222221</v>
      </c>
      <c r="G14" s="29">
        <f t="shared" si="2"/>
        <v>600</v>
      </c>
      <c r="H14" s="25">
        <f t="shared" si="2"/>
        <v>600</v>
      </c>
      <c r="I14" s="25">
        <f t="shared" si="2"/>
        <v>600</v>
      </c>
      <c r="J14" s="25">
        <f t="shared" si="2"/>
        <v>600</v>
      </c>
      <c r="K14" s="25">
        <f t="shared" si="2"/>
        <v>600</v>
      </c>
      <c r="L14" s="25">
        <f t="shared" si="2"/>
        <v>600</v>
      </c>
      <c r="M14" s="25">
        <f t="shared" si="2"/>
        <v>600</v>
      </c>
      <c r="N14" s="25">
        <f t="shared" si="2"/>
        <v>600</v>
      </c>
      <c r="O14" s="25">
        <f t="shared" si="2"/>
        <v>600</v>
      </c>
      <c r="P14" s="3">
        <v>766.66773493911262</v>
      </c>
      <c r="Q14" s="3">
        <v>772.30112156014832</v>
      </c>
      <c r="R14" s="3">
        <v>779.00537789390739</v>
      </c>
      <c r="S14" s="3">
        <v>784.48197428863273</v>
      </c>
      <c r="T14" s="3">
        <v>788.77618397384788</v>
      </c>
      <c r="U14" s="3">
        <v>791.93597578879121</v>
      </c>
      <c r="V14" s="3">
        <v>793.99949447853714</v>
      </c>
      <c r="W14" s="3">
        <v>794.99178901637094</v>
      </c>
      <c r="X14" s="3">
        <v>794.92297448800321</v>
      </c>
      <c r="Y14" s="3">
        <v>793.78906223909985</v>
      </c>
      <c r="Z14" s="3">
        <v>791.57368193904347</v>
      </c>
      <c r="AA14" s="3">
        <v>788.2595813487867</v>
      </c>
      <c r="AB14" s="3">
        <v>786.38515139562071</v>
      </c>
      <c r="AC14" s="25">
        <f t="shared" si="3"/>
        <v>650</v>
      </c>
      <c r="AD14" s="25">
        <f t="shared" si="3"/>
        <v>650</v>
      </c>
      <c r="AE14" s="25">
        <f t="shared" si="3"/>
        <v>650</v>
      </c>
      <c r="AF14" s="25">
        <f t="shared" si="3"/>
        <v>650</v>
      </c>
      <c r="AG14" s="25">
        <f t="shared" si="3"/>
        <v>650</v>
      </c>
      <c r="AH14" s="25">
        <f t="shared" si="3"/>
        <v>650</v>
      </c>
      <c r="AI14" s="25">
        <f t="shared" si="3"/>
        <v>650</v>
      </c>
      <c r="AJ14" s="25">
        <f t="shared" si="3"/>
        <v>650</v>
      </c>
      <c r="AK14" s="15">
        <f t="shared" si="3"/>
        <v>650</v>
      </c>
      <c r="AL14" s="16">
        <v>52</v>
      </c>
      <c r="AM14" s="6">
        <f t="shared" si="4"/>
        <v>0.47222222222222221</v>
      </c>
    </row>
    <row r="15" spans="1:45" ht="50.1" customHeight="1" x14ac:dyDescent="0.25">
      <c r="E15" s="5">
        <v>51</v>
      </c>
      <c r="F15" s="22">
        <f t="shared" si="1"/>
        <v>0.46296296296296291</v>
      </c>
      <c r="G15" s="29">
        <f t="shared" si="2"/>
        <v>600</v>
      </c>
      <c r="H15" s="25">
        <f t="shared" si="2"/>
        <v>600</v>
      </c>
      <c r="I15" s="25">
        <f t="shared" si="2"/>
        <v>600</v>
      </c>
      <c r="J15" s="25">
        <f t="shared" si="2"/>
        <v>600</v>
      </c>
      <c r="K15" s="25">
        <f t="shared" si="2"/>
        <v>600</v>
      </c>
      <c r="L15" s="25">
        <f t="shared" si="2"/>
        <v>600</v>
      </c>
      <c r="M15" s="25">
        <f t="shared" si="2"/>
        <v>600</v>
      </c>
      <c r="N15" s="25">
        <f t="shared" si="2"/>
        <v>600</v>
      </c>
      <c r="O15" s="25">
        <f t="shared" si="2"/>
        <v>600</v>
      </c>
      <c r="P15" s="3">
        <v>753.93605532738877</v>
      </c>
      <c r="Q15" s="3">
        <v>740.25352221050844</v>
      </c>
      <c r="R15" s="3">
        <v>745.84379338776534</v>
      </c>
      <c r="S15" s="3">
        <v>750.57346908793204</v>
      </c>
      <c r="T15" s="3">
        <v>754.39234147263039</v>
      </c>
      <c r="U15" s="3">
        <v>757.30994848293949</v>
      </c>
      <c r="V15" s="3">
        <v>759.33644787024195</v>
      </c>
      <c r="W15" s="3">
        <v>760.48098408186297</v>
      </c>
      <c r="X15" s="3">
        <v>760.74701127628714</v>
      </c>
      <c r="Y15" s="3">
        <v>760.13579699165314</v>
      </c>
      <c r="Z15" s="3">
        <v>758.64537331764996</v>
      </c>
      <c r="AA15" s="3">
        <v>756.33723745695386</v>
      </c>
      <c r="AB15" s="3">
        <v>775.23847816302066</v>
      </c>
      <c r="AC15" s="25">
        <f t="shared" si="3"/>
        <v>650</v>
      </c>
      <c r="AD15" s="25">
        <f t="shared" si="3"/>
        <v>650</v>
      </c>
      <c r="AE15" s="25">
        <f t="shared" si="3"/>
        <v>650</v>
      </c>
      <c r="AF15" s="25">
        <f t="shared" si="3"/>
        <v>650</v>
      </c>
      <c r="AG15" s="25">
        <f t="shared" si="3"/>
        <v>650</v>
      </c>
      <c r="AH15" s="25">
        <f t="shared" si="3"/>
        <v>650</v>
      </c>
      <c r="AI15" s="25">
        <f t="shared" si="3"/>
        <v>650</v>
      </c>
      <c r="AJ15" s="25">
        <f t="shared" si="3"/>
        <v>650</v>
      </c>
      <c r="AK15" s="15">
        <f t="shared" si="3"/>
        <v>650</v>
      </c>
      <c r="AL15" s="16">
        <v>51</v>
      </c>
      <c r="AM15" s="6">
        <f t="shared" si="4"/>
        <v>0.46296296296296291</v>
      </c>
    </row>
    <row r="16" spans="1:45" ht="50.1" customHeight="1" x14ac:dyDescent="0.25">
      <c r="E16" s="5">
        <v>50</v>
      </c>
      <c r="F16" s="22">
        <f t="shared" si="1"/>
        <v>0.45370370370370366</v>
      </c>
      <c r="G16" s="29">
        <f t="shared" si="2"/>
        <v>600</v>
      </c>
      <c r="H16" s="25">
        <f t="shared" si="2"/>
        <v>600</v>
      </c>
      <c r="I16" s="25">
        <f t="shared" si="2"/>
        <v>600</v>
      </c>
      <c r="J16" s="25">
        <f t="shared" si="2"/>
        <v>600</v>
      </c>
      <c r="K16" s="25">
        <f t="shared" si="2"/>
        <v>600</v>
      </c>
      <c r="L16" s="25">
        <f t="shared" si="2"/>
        <v>600</v>
      </c>
      <c r="M16" s="25">
        <f t="shared" si="2"/>
        <v>600</v>
      </c>
      <c r="N16" s="25">
        <f t="shared" si="2"/>
        <v>600</v>
      </c>
      <c r="O16" s="25">
        <f t="shared" si="2"/>
        <v>600</v>
      </c>
      <c r="P16" s="25">
        <f t="shared" ref="P16:P57" si="5">$R$2</f>
        <v>600</v>
      </c>
      <c r="Q16" s="3">
        <v>715.53594768949574</v>
      </c>
      <c r="R16" s="3">
        <v>719.68511153979705</v>
      </c>
      <c r="S16" s="3">
        <v>723.65439923966846</v>
      </c>
      <c r="T16" s="3">
        <v>726.95067620518296</v>
      </c>
      <c r="U16" s="3">
        <v>729.56786283434826</v>
      </c>
      <c r="V16" s="3">
        <v>731.50557697119439</v>
      </c>
      <c r="W16" s="3">
        <v>732.77334056199049</v>
      </c>
      <c r="X16" s="3">
        <v>733.365898802836</v>
      </c>
      <c r="Y16" s="3">
        <v>733.29105225789033</v>
      </c>
      <c r="Z16" s="3">
        <v>732.55992851812277</v>
      </c>
      <c r="AA16" s="3">
        <v>731.75380132479268</v>
      </c>
      <c r="AB16" s="25">
        <f t="shared" ref="AB16:AB57" si="6">$R$3</f>
        <v>650</v>
      </c>
      <c r="AC16" s="25">
        <f t="shared" si="3"/>
        <v>650</v>
      </c>
      <c r="AD16" s="25">
        <f t="shared" si="3"/>
        <v>650</v>
      </c>
      <c r="AE16" s="25">
        <f t="shared" si="3"/>
        <v>650</v>
      </c>
      <c r="AF16" s="25">
        <f t="shared" si="3"/>
        <v>650</v>
      </c>
      <c r="AG16" s="25">
        <f t="shared" si="3"/>
        <v>650</v>
      </c>
      <c r="AH16" s="25">
        <f t="shared" si="3"/>
        <v>650</v>
      </c>
      <c r="AI16" s="25">
        <f t="shared" si="3"/>
        <v>650</v>
      </c>
      <c r="AJ16" s="25">
        <f t="shared" si="3"/>
        <v>650</v>
      </c>
      <c r="AK16" s="15">
        <f t="shared" si="3"/>
        <v>650</v>
      </c>
      <c r="AL16" s="16">
        <v>50</v>
      </c>
      <c r="AM16" s="6">
        <f t="shared" si="4"/>
        <v>0.45370370370370366</v>
      </c>
    </row>
    <row r="17" spans="1:39" ht="50.1" customHeight="1" x14ac:dyDescent="0.25">
      <c r="E17" s="5">
        <v>49</v>
      </c>
      <c r="F17" s="22">
        <f t="shared" si="1"/>
        <v>0.44444444444444442</v>
      </c>
      <c r="G17" s="29">
        <f t="shared" si="2"/>
        <v>600</v>
      </c>
      <c r="H17" s="25">
        <f t="shared" si="2"/>
        <v>600</v>
      </c>
      <c r="I17" s="25">
        <f t="shared" si="2"/>
        <v>600</v>
      </c>
      <c r="J17" s="25">
        <f t="shared" si="2"/>
        <v>600</v>
      </c>
      <c r="K17" s="25">
        <f t="shared" si="2"/>
        <v>600</v>
      </c>
      <c r="L17" s="25">
        <f t="shared" si="2"/>
        <v>600</v>
      </c>
      <c r="M17" s="25">
        <f t="shared" si="2"/>
        <v>600</v>
      </c>
      <c r="N17" s="25">
        <f t="shared" si="2"/>
        <v>600</v>
      </c>
      <c r="O17" s="25">
        <f t="shared" si="2"/>
        <v>600</v>
      </c>
      <c r="P17" s="25">
        <f t="shared" si="5"/>
        <v>600</v>
      </c>
      <c r="Q17" s="3">
        <v>706.92817883036321</v>
      </c>
      <c r="R17" s="3">
        <v>701.82257273293339</v>
      </c>
      <c r="S17" s="3">
        <v>703.20424341086175</v>
      </c>
      <c r="T17" s="3">
        <v>705.25579647123288</v>
      </c>
      <c r="U17" s="3">
        <v>707.2890156759504</v>
      </c>
      <c r="V17" s="3">
        <v>709.04466972174055</v>
      </c>
      <c r="W17" s="3">
        <v>710.51548824291297</v>
      </c>
      <c r="X17" s="3">
        <v>711.72154977601281</v>
      </c>
      <c r="Y17" s="3">
        <v>712.97806582277065</v>
      </c>
      <c r="Z17" s="3">
        <v>715.07267816474291</v>
      </c>
      <c r="AA17" s="3">
        <v>724.78448275769051</v>
      </c>
      <c r="AB17" s="25">
        <f t="shared" si="6"/>
        <v>650</v>
      </c>
      <c r="AC17" s="25">
        <f t="shared" si="3"/>
        <v>650</v>
      </c>
      <c r="AD17" s="25">
        <f t="shared" si="3"/>
        <v>650</v>
      </c>
      <c r="AE17" s="25">
        <f t="shared" si="3"/>
        <v>650</v>
      </c>
      <c r="AF17" s="25">
        <f t="shared" si="3"/>
        <v>650</v>
      </c>
      <c r="AG17" s="25">
        <f t="shared" si="3"/>
        <v>650</v>
      </c>
      <c r="AH17" s="25">
        <f t="shared" si="3"/>
        <v>650</v>
      </c>
      <c r="AI17" s="25">
        <f t="shared" si="3"/>
        <v>650</v>
      </c>
      <c r="AJ17" s="25">
        <f t="shared" si="3"/>
        <v>650</v>
      </c>
      <c r="AK17" s="15">
        <f t="shared" si="3"/>
        <v>650</v>
      </c>
      <c r="AL17" s="16">
        <v>49</v>
      </c>
      <c r="AM17" s="6">
        <f t="shared" si="4"/>
        <v>0.44444444444444442</v>
      </c>
    </row>
    <row r="18" spans="1:39" ht="50.1" customHeight="1" x14ac:dyDescent="0.25">
      <c r="A18" s="2"/>
      <c r="B18" s="2"/>
      <c r="E18" s="5">
        <v>48</v>
      </c>
      <c r="F18" s="22">
        <f t="shared" si="1"/>
        <v>0.43518518518518517</v>
      </c>
      <c r="G18" s="29">
        <f t="shared" si="2"/>
        <v>600</v>
      </c>
      <c r="H18" s="25">
        <f t="shared" si="2"/>
        <v>600</v>
      </c>
      <c r="I18" s="25">
        <f t="shared" si="2"/>
        <v>600</v>
      </c>
      <c r="J18" s="25">
        <f t="shared" si="2"/>
        <v>600</v>
      </c>
      <c r="K18" s="25">
        <f t="shared" si="2"/>
        <v>600</v>
      </c>
      <c r="L18" s="25">
        <f t="shared" si="2"/>
        <v>600</v>
      </c>
      <c r="M18" s="25">
        <f t="shared" si="2"/>
        <v>600</v>
      </c>
      <c r="N18" s="25">
        <f t="shared" si="2"/>
        <v>600</v>
      </c>
      <c r="O18" s="25">
        <f t="shared" si="2"/>
        <v>600</v>
      </c>
      <c r="P18" s="25">
        <f t="shared" si="5"/>
        <v>600</v>
      </c>
      <c r="Q18" s="25">
        <f t="shared" ref="Q18:Q56" si="7">$R$2</f>
        <v>600</v>
      </c>
      <c r="R18" s="3">
        <v>694.72209478047876</v>
      </c>
      <c r="S18" s="3">
        <v>685.53310019109983</v>
      </c>
      <c r="T18" s="3">
        <v>685.24451870806331</v>
      </c>
      <c r="U18" s="3">
        <v>686.93422349817308</v>
      </c>
      <c r="V18" s="3">
        <v>688.55898438003931</v>
      </c>
      <c r="W18" s="3">
        <v>690.09045830521518</v>
      </c>
      <c r="X18" s="3">
        <v>691.58491285206219</v>
      </c>
      <c r="Y18" s="3">
        <v>695.49109560252487</v>
      </c>
      <c r="Z18" s="3">
        <v>709.78299240232025</v>
      </c>
      <c r="AA18" s="25">
        <f t="shared" ref="AA18:AA56" si="8">$R$3</f>
        <v>650</v>
      </c>
      <c r="AB18" s="25">
        <f t="shared" si="6"/>
        <v>650</v>
      </c>
      <c r="AC18" s="25">
        <f t="shared" si="3"/>
        <v>650</v>
      </c>
      <c r="AD18" s="25">
        <f t="shared" si="3"/>
        <v>650</v>
      </c>
      <c r="AE18" s="25">
        <f t="shared" si="3"/>
        <v>650</v>
      </c>
      <c r="AF18" s="25">
        <f t="shared" si="3"/>
        <v>650</v>
      </c>
      <c r="AG18" s="25">
        <f t="shared" si="3"/>
        <v>650</v>
      </c>
      <c r="AH18" s="25">
        <f t="shared" si="3"/>
        <v>650</v>
      </c>
      <c r="AI18" s="25">
        <f t="shared" si="3"/>
        <v>650</v>
      </c>
      <c r="AJ18" s="25">
        <f t="shared" si="3"/>
        <v>650</v>
      </c>
      <c r="AK18" s="15">
        <f t="shared" si="3"/>
        <v>650</v>
      </c>
      <c r="AL18" s="16">
        <v>48</v>
      </c>
      <c r="AM18" s="6">
        <f t="shared" si="4"/>
        <v>0.43518518518518517</v>
      </c>
    </row>
    <row r="19" spans="1:39" ht="50.1" customHeight="1" x14ac:dyDescent="0.25">
      <c r="E19" s="5">
        <v>47</v>
      </c>
      <c r="F19" s="22">
        <f t="shared" si="1"/>
        <v>0.42592592592592593</v>
      </c>
      <c r="G19" s="29">
        <f t="shared" si="2"/>
        <v>600</v>
      </c>
      <c r="H19" s="25">
        <f t="shared" si="2"/>
        <v>600</v>
      </c>
      <c r="I19" s="25">
        <f t="shared" si="2"/>
        <v>600</v>
      </c>
      <c r="J19" s="25">
        <f t="shared" si="2"/>
        <v>600</v>
      </c>
      <c r="K19" s="25">
        <f t="shared" si="2"/>
        <v>600</v>
      </c>
      <c r="L19" s="25">
        <f t="shared" si="2"/>
        <v>600</v>
      </c>
      <c r="M19" s="25">
        <f t="shared" si="2"/>
        <v>600</v>
      </c>
      <c r="N19" s="25">
        <f t="shared" si="2"/>
        <v>600</v>
      </c>
      <c r="O19" s="25">
        <f t="shared" si="2"/>
        <v>600</v>
      </c>
      <c r="P19" s="25">
        <f t="shared" si="5"/>
        <v>600</v>
      </c>
      <c r="Q19" s="25">
        <f t="shared" si="7"/>
        <v>600</v>
      </c>
      <c r="R19" s="25">
        <f t="shared" ref="R19:R54" si="9">$R$2</f>
        <v>600</v>
      </c>
      <c r="S19" s="3">
        <v>679.23836336942111</v>
      </c>
      <c r="T19" s="3">
        <v>664.57285506274081</v>
      </c>
      <c r="U19" s="3">
        <v>666.53864848503872</v>
      </c>
      <c r="V19" s="3">
        <v>668.18183948814897</v>
      </c>
      <c r="W19" s="3">
        <v>669.39288297293854</v>
      </c>
      <c r="X19" s="3">
        <v>670.31023426821787</v>
      </c>
      <c r="Y19" s="3">
        <v>691.14153328348004</v>
      </c>
      <c r="Z19" s="25">
        <f t="shared" ref="Z19:Z54" si="10">$R$3</f>
        <v>650</v>
      </c>
      <c r="AA19" s="25">
        <f t="shared" si="8"/>
        <v>650</v>
      </c>
      <c r="AB19" s="25">
        <f t="shared" si="6"/>
        <v>650</v>
      </c>
      <c r="AC19" s="25">
        <f t="shared" si="3"/>
        <v>650</v>
      </c>
      <c r="AD19" s="25">
        <f t="shared" si="3"/>
        <v>650</v>
      </c>
      <c r="AE19" s="25">
        <f t="shared" si="3"/>
        <v>650</v>
      </c>
      <c r="AF19" s="25">
        <f t="shared" si="3"/>
        <v>650</v>
      </c>
      <c r="AG19" s="25">
        <f t="shared" si="3"/>
        <v>650</v>
      </c>
      <c r="AH19" s="25">
        <f t="shared" si="3"/>
        <v>650</v>
      </c>
      <c r="AI19" s="25">
        <f t="shared" si="3"/>
        <v>650</v>
      </c>
      <c r="AJ19" s="25">
        <f t="shared" si="3"/>
        <v>650</v>
      </c>
      <c r="AK19" s="15">
        <f t="shared" si="3"/>
        <v>650</v>
      </c>
      <c r="AL19" s="16">
        <v>47</v>
      </c>
      <c r="AM19" s="6">
        <f t="shared" si="4"/>
        <v>0.42592592592592593</v>
      </c>
    </row>
    <row r="20" spans="1:39" ht="50.1" customHeight="1" x14ac:dyDescent="0.25">
      <c r="E20" s="5">
        <v>46</v>
      </c>
      <c r="F20" s="22">
        <f t="shared" si="1"/>
        <v>0.41666666666666663</v>
      </c>
      <c r="G20" s="29">
        <f t="shared" si="2"/>
        <v>600</v>
      </c>
      <c r="H20" s="25">
        <f t="shared" si="2"/>
        <v>600</v>
      </c>
      <c r="I20" s="25">
        <f t="shared" si="2"/>
        <v>600</v>
      </c>
      <c r="J20" s="25">
        <f t="shared" si="2"/>
        <v>600</v>
      </c>
      <c r="K20" s="25">
        <f t="shared" si="2"/>
        <v>600</v>
      </c>
      <c r="L20" s="25">
        <f t="shared" si="2"/>
        <v>600</v>
      </c>
      <c r="M20" s="25">
        <f t="shared" si="2"/>
        <v>600</v>
      </c>
      <c r="N20" s="25">
        <f t="shared" si="2"/>
        <v>600</v>
      </c>
      <c r="O20" s="25">
        <f t="shared" si="2"/>
        <v>600</v>
      </c>
      <c r="P20" s="25">
        <f t="shared" si="5"/>
        <v>600</v>
      </c>
      <c r="Q20" s="25">
        <f t="shared" si="7"/>
        <v>600</v>
      </c>
      <c r="R20" s="25">
        <f t="shared" si="9"/>
        <v>600</v>
      </c>
      <c r="S20" s="25">
        <f t="shared" ref="S20:S52" si="11">$R$2</f>
        <v>600</v>
      </c>
      <c r="T20" s="3">
        <v>648.88631526599363</v>
      </c>
      <c r="U20" s="3">
        <v>649.91731164724547</v>
      </c>
      <c r="V20" s="3">
        <v>651.48117714884995</v>
      </c>
      <c r="W20" s="3">
        <v>652.5698839646991</v>
      </c>
      <c r="X20" s="3">
        <v>654.50163818368981</v>
      </c>
      <c r="Y20" s="25">
        <f t="shared" ref="Y20:Y52" si="12">$R$3</f>
        <v>650</v>
      </c>
      <c r="Z20" s="25">
        <f t="shared" si="10"/>
        <v>650</v>
      </c>
      <c r="AA20" s="25">
        <f t="shared" si="8"/>
        <v>650</v>
      </c>
      <c r="AB20" s="25">
        <f t="shared" si="6"/>
        <v>650</v>
      </c>
      <c r="AC20" s="25">
        <f t="shared" si="3"/>
        <v>650</v>
      </c>
      <c r="AD20" s="25">
        <f t="shared" si="3"/>
        <v>650</v>
      </c>
      <c r="AE20" s="25">
        <f t="shared" si="3"/>
        <v>650</v>
      </c>
      <c r="AF20" s="25">
        <f t="shared" si="3"/>
        <v>650</v>
      </c>
      <c r="AG20" s="25">
        <f t="shared" si="3"/>
        <v>650</v>
      </c>
      <c r="AH20" s="25">
        <f t="shared" si="3"/>
        <v>650</v>
      </c>
      <c r="AI20" s="25">
        <f t="shared" si="3"/>
        <v>650</v>
      </c>
      <c r="AJ20" s="25">
        <f t="shared" si="3"/>
        <v>650</v>
      </c>
      <c r="AK20" s="15">
        <f t="shared" si="3"/>
        <v>650</v>
      </c>
      <c r="AL20" s="16">
        <v>46</v>
      </c>
      <c r="AM20" s="6">
        <f t="shared" si="4"/>
        <v>0.41666666666666663</v>
      </c>
    </row>
    <row r="21" spans="1:39" ht="50.1" customHeight="1" x14ac:dyDescent="0.25">
      <c r="E21" s="5">
        <v>45</v>
      </c>
      <c r="F21" s="22">
        <f t="shared" si="1"/>
        <v>0.40740740740740738</v>
      </c>
      <c r="G21" s="29">
        <f t="shared" ref="G21:O30" si="13">$R$2</f>
        <v>600</v>
      </c>
      <c r="H21" s="25">
        <f t="shared" si="13"/>
        <v>600</v>
      </c>
      <c r="I21" s="25">
        <f t="shared" si="13"/>
        <v>600</v>
      </c>
      <c r="J21" s="25">
        <f t="shared" si="13"/>
        <v>600</v>
      </c>
      <c r="K21" s="25">
        <f t="shared" si="13"/>
        <v>600</v>
      </c>
      <c r="L21" s="25">
        <f t="shared" si="13"/>
        <v>600</v>
      </c>
      <c r="M21" s="25">
        <f t="shared" si="13"/>
        <v>600</v>
      </c>
      <c r="N21" s="25">
        <f t="shared" si="13"/>
        <v>600</v>
      </c>
      <c r="O21" s="25">
        <f t="shared" si="13"/>
        <v>600</v>
      </c>
      <c r="P21" s="25">
        <f t="shared" si="5"/>
        <v>600</v>
      </c>
      <c r="Q21" s="25">
        <f t="shared" si="7"/>
        <v>600</v>
      </c>
      <c r="R21" s="25">
        <f t="shared" si="9"/>
        <v>600</v>
      </c>
      <c r="S21" s="25">
        <f t="shared" si="11"/>
        <v>600</v>
      </c>
      <c r="T21" s="3">
        <v>644.59671824069392</v>
      </c>
      <c r="U21" s="3">
        <v>637.4280948803862</v>
      </c>
      <c r="V21" s="3">
        <v>638.79190267418119</v>
      </c>
      <c r="W21" s="3">
        <v>639.93606176396224</v>
      </c>
      <c r="X21" s="3">
        <v>652.32777832986005</v>
      </c>
      <c r="Y21" s="25">
        <f t="shared" si="12"/>
        <v>650</v>
      </c>
      <c r="Z21" s="25">
        <f t="shared" si="10"/>
        <v>650</v>
      </c>
      <c r="AA21" s="25">
        <f t="shared" si="8"/>
        <v>650</v>
      </c>
      <c r="AB21" s="25">
        <f t="shared" si="6"/>
        <v>650</v>
      </c>
      <c r="AC21" s="25">
        <f t="shared" ref="AC21:AK30" si="14">$R$3</f>
        <v>650</v>
      </c>
      <c r="AD21" s="25">
        <f t="shared" si="14"/>
        <v>650</v>
      </c>
      <c r="AE21" s="25">
        <f t="shared" si="14"/>
        <v>650</v>
      </c>
      <c r="AF21" s="25">
        <f t="shared" si="14"/>
        <v>650</v>
      </c>
      <c r="AG21" s="25">
        <f t="shared" si="14"/>
        <v>650</v>
      </c>
      <c r="AH21" s="25">
        <f t="shared" si="14"/>
        <v>650</v>
      </c>
      <c r="AI21" s="25">
        <f t="shared" si="14"/>
        <v>650</v>
      </c>
      <c r="AJ21" s="25">
        <f t="shared" si="14"/>
        <v>650</v>
      </c>
      <c r="AK21" s="15">
        <f t="shared" si="14"/>
        <v>650</v>
      </c>
      <c r="AL21" s="16">
        <v>45</v>
      </c>
      <c r="AM21" s="6">
        <f t="shared" si="4"/>
        <v>0.40740740740740738</v>
      </c>
    </row>
    <row r="22" spans="1:39" ht="50.1" customHeight="1" x14ac:dyDescent="0.25">
      <c r="E22" s="5">
        <v>44</v>
      </c>
      <c r="F22" s="22">
        <f t="shared" si="1"/>
        <v>0.39814814814814814</v>
      </c>
      <c r="G22" s="29">
        <f t="shared" si="13"/>
        <v>600</v>
      </c>
      <c r="H22" s="25">
        <f t="shared" si="13"/>
        <v>600</v>
      </c>
      <c r="I22" s="25">
        <f t="shared" si="13"/>
        <v>600</v>
      </c>
      <c r="J22" s="25">
        <f t="shared" si="13"/>
        <v>600</v>
      </c>
      <c r="K22" s="25">
        <f t="shared" si="13"/>
        <v>600</v>
      </c>
      <c r="L22" s="25">
        <f t="shared" si="13"/>
        <v>600</v>
      </c>
      <c r="M22" s="25">
        <f t="shared" si="13"/>
        <v>600</v>
      </c>
      <c r="N22" s="25">
        <f t="shared" si="13"/>
        <v>600</v>
      </c>
      <c r="O22" s="25">
        <f t="shared" si="13"/>
        <v>600</v>
      </c>
      <c r="P22" s="25">
        <f t="shared" si="5"/>
        <v>600</v>
      </c>
      <c r="Q22" s="25">
        <f t="shared" si="7"/>
        <v>600</v>
      </c>
      <c r="R22" s="25">
        <f t="shared" si="9"/>
        <v>600</v>
      </c>
      <c r="S22" s="25">
        <f t="shared" si="11"/>
        <v>600</v>
      </c>
      <c r="T22" s="25">
        <f t="shared" ref="T22:T49" si="15">$R$2</f>
        <v>600</v>
      </c>
      <c r="U22" s="3">
        <v>627.30792458877966</v>
      </c>
      <c r="V22" s="3">
        <v>628.29871021768417</v>
      </c>
      <c r="W22" s="3">
        <v>629.75942673746897</v>
      </c>
      <c r="X22" s="25">
        <f t="shared" ref="X22:X49" si="16">$R$3</f>
        <v>650</v>
      </c>
      <c r="Y22" s="25">
        <f t="shared" si="12"/>
        <v>650</v>
      </c>
      <c r="Z22" s="25">
        <f t="shared" si="10"/>
        <v>650</v>
      </c>
      <c r="AA22" s="25">
        <f t="shared" si="8"/>
        <v>650</v>
      </c>
      <c r="AB22" s="25">
        <f t="shared" si="6"/>
        <v>650</v>
      </c>
      <c r="AC22" s="25">
        <f t="shared" si="14"/>
        <v>650</v>
      </c>
      <c r="AD22" s="25">
        <f t="shared" si="14"/>
        <v>650</v>
      </c>
      <c r="AE22" s="25">
        <f t="shared" si="14"/>
        <v>650</v>
      </c>
      <c r="AF22" s="25">
        <f t="shared" si="14"/>
        <v>650</v>
      </c>
      <c r="AG22" s="25">
        <f t="shared" si="14"/>
        <v>650</v>
      </c>
      <c r="AH22" s="25">
        <f t="shared" si="14"/>
        <v>650</v>
      </c>
      <c r="AI22" s="25">
        <f t="shared" si="14"/>
        <v>650</v>
      </c>
      <c r="AJ22" s="25">
        <f t="shared" si="14"/>
        <v>650</v>
      </c>
      <c r="AK22" s="15">
        <f t="shared" si="14"/>
        <v>650</v>
      </c>
      <c r="AL22" s="16">
        <v>44</v>
      </c>
      <c r="AM22" s="6">
        <f t="shared" si="4"/>
        <v>0.39814814814814814</v>
      </c>
    </row>
    <row r="23" spans="1:39" ht="50.1" customHeight="1" x14ac:dyDescent="0.25">
      <c r="A23" s="2"/>
      <c r="B23" s="2"/>
      <c r="E23" s="5">
        <v>43</v>
      </c>
      <c r="F23" s="22">
        <f t="shared" si="1"/>
        <v>0.38888888888888884</v>
      </c>
      <c r="G23" s="29">
        <f t="shared" si="13"/>
        <v>600</v>
      </c>
      <c r="H23" s="25">
        <f t="shared" si="13"/>
        <v>600</v>
      </c>
      <c r="I23" s="25">
        <f t="shared" si="13"/>
        <v>600</v>
      </c>
      <c r="J23" s="25">
        <f t="shared" si="13"/>
        <v>600</v>
      </c>
      <c r="K23" s="25">
        <f t="shared" si="13"/>
        <v>600</v>
      </c>
      <c r="L23" s="25">
        <f t="shared" si="13"/>
        <v>600</v>
      </c>
      <c r="M23" s="25">
        <f t="shared" si="13"/>
        <v>600</v>
      </c>
      <c r="N23" s="25">
        <f t="shared" si="13"/>
        <v>600</v>
      </c>
      <c r="O23" s="25">
        <f t="shared" si="13"/>
        <v>600</v>
      </c>
      <c r="P23" s="25">
        <f t="shared" si="5"/>
        <v>600</v>
      </c>
      <c r="Q23" s="25">
        <f t="shared" si="7"/>
        <v>600</v>
      </c>
      <c r="R23" s="25">
        <f t="shared" si="9"/>
        <v>600</v>
      </c>
      <c r="S23" s="25">
        <f t="shared" si="11"/>
        <v>600</v>
      </c>
      <c r="T23" s="25">
        <f t="shared" si="15"/>
        <v>600</v>
      </c>
      <c r="U23" s="3">
        <v>620.93178652877884</v>
      </c>
      <c r="V23" s="3">
        <v>621.76592443709762</v>
      </c>
      <c r="W23" s="3">
        <v>623.30454306536137</v>
      </c>
      <c r="X23" s="25">
        <f t="shared" si="16"/>
        <v>650</v>
      </c>
      <c r="Y23" s="25">
        <f t="shared" si="12"/>
        <v>650</v>
      </c>
      <c r="Z23" s="25">
        <f t="shared" si="10"/>
        <v>650</v>
      </c>
      <c r="AA23" s="25">
        <f t="shared" si="8"/>
        <v>650</v>
      </c>
      <c r="AB23" s="25">
        <f t="shared" si="6"/>
        <v>650</v>
      </c>
      <c r="AC23" s="25">
        <f t="shared" si="14"/>
        <v>650</v>
      </c>
      <c r="AD23" s="25">
        <f t="shared" si="14"/>
        <v>650</v>
      </c>
      <c r="AE23" s="25">
        <f t="shared" si="14"/>
        <v>650</v>
      </c>
      <c r="AF23" s="25">
        <f t="shared" si="14"/>
        <v>650</v>
      </c>
      <c r="AG23" s="25">
        <f t="shared" si="14"/>
        <v>650</v>
      </c>
      <c r="AH23" s="25">
        <f t="shared" si="14"/>
        <v>650</v>
      </c>
      <c r="AI23" s="25">
        <f t="shared" si="14"/>
        <v>650</v>
      </c>
      <c r="AJ23" s="25">
        <f t="shared" si="14"/>
        <v>650</v>
      </c>
      <c r="AK23" s="15">
        <f t="shared" si="14"/>
        <v>650</v>
      </c>
      <c r="AL23" s="16">
        <v>43</v>
      </c>
      <c r="AM23" s="6">
        <f t="shared" si="4"/>
        <v>0.38888888888888884</v>
      </c>
    </row>
    <row r="24" spans="1:39" ht="50.1" customHeight="1" x14ac:dyDescent="0.25">
      <c r="E24" s="5">
        <v>42</v>
      </c>
      <c r="F24" s="22">
        <f t="shared" si="1"/>
        <v>0.37962962962962959</v>
      </c>
      <c r="G24" s="29">
        <f t="shared" si="13"/>
        <v>600</v>
      </c>
      <c r="H24" s="25">
        <f t="shared" si="13"/>
        <v>600</v>
      </c>
      <c r="I24" s="25">
        <f t="shared" si="13"/>
        <v>600</v>
      </c>
      <c r="J24" s="25">
        <f t="shared" si="13"/>
        <v>600</v>
      </c>
      <c r="K24" s="25">
        <f t="shared" si="13"/>
        <v>600</v>
      </c>
      <c r="L24" s="25">
        <f t="shared" si="13"/>
        <v>600</v>
      </c>
      <c r="M24" s="25">
        <f t="shared" si="13"/>
        <v>600</v>
      </c>
      <c r="N24" s="25">
        <f t="shared" si="13"/>
        <v>600</v>
      </c>
      <c r="O24" s="25">
        <f t="shared" si="13"/>
        <v>600</v>
      </c>
      <c r="P24" s="25">
        <f t="shared" si="5"/>
        <v>600</v>
      </c>
      <c r="Q24" s="25">
        <f t="shared" si="7"/>
        <v>600</v>
      </c>
      <c r="R24" s="25">
        <f t="shared" si="9"/>
        <v>600</v>
      </c>
      <c r="S24" s="25">
        <f t="shared" si="11"/>
        <v>600</v>
      </c>
      <c r="T24" s="25">
        <f t="shared" si="15"/>
        <v>600</v>
      </c>
      <c r="U24" s="3">
        <v>616.95336237420076</v>
      </c>
      <c r="V24" s="3">
        <v>617.69879503465609</v>
      </c>
      <c r="W24" s="3">
        <v>619.27200785228456</v>
      </c>
      <c r="X24" s="25">
        <f t="shared" si="16"/>
        <v>650</v>
      </c>
      <c r="Y24" s="25">
        <f t="shared" si="12"/>
        <v>650</v>
      </c>
      <c r="Z24" s="25">
        <f t="shared" si="10"/>
        <v>650</v>
      </c>
      <c r="AA24" s="25">
        <f t="shared" si="8"/>
        <v>650</v>
      </c>
      <c r="AB24" s="25">
        <f t="shared" si="6"/>
        <v>650</v>
      </c>
      <c r="AC24" s="25">
        <f t="shared" si="14"/>
        <v>650</v>
      </c>
      <c r="AD24" s="25">
        <f t="shared" si="14"/>
        <v>650</v>
      </c>
      <c r="AE24" s="25">
        <f t="shared" si="14"/>
        <v>650</v>
      </c>
      <c r="AF24" s="25">
        <f t="shared" si="14"/>
        <v>650</v>
      </c>
      <c r="AG24" s="25">
        <f t="shared" si="14"/>
        <v>650</v>
      </c>
      <c r="AH24" s="25">
        <f t="shared" si="14"/>
        <v>650</v>
      </c>
      <c r="AI24" s="25">
        <f t="shared" si="14"/>
        <v>650</v>
      </c>
      <c r="AJ24" s="25">
        <f t="shared" si="14"/>
        <v>650</v>
      </c>
      <c r="AK24" s="15">
        <f t="shared" si="14"/>
        <v>650</v>
      </c>
      <c r="AL24" s="16">
        <v>42</v>
      </c>
      <c r="AM24" s="6">
        <f t="shared" si="4"/>
        <v>0.37962962962962959</v>
      </c>
    </row>
    <row r="25" spans="1:39" ht="50.1" customHeight="1" x14ac:dyDescent="0.3">
      <c r="E25" s="5">
        <v>41</v>
      </c>
      <c r="F25" s="22">
        <f t="shared" si="1"/>
        <v>0.37037037037037035</v>
      </c>
      <c r="G25" s="29">
        <f t="shared" si="13"/>
        <v>600</v>
      </c>
      <c r="H25" s="25">
        <f t="shared" si="13"/>
        <v>600</v>
      </c>
      <c r="I25" s="25">
        <f t="shared" si="13"/>
        <v>600</v>
      </c>
      <c r="J25" s="25">
        <f t="shared" si="13"/>
        <v>600</v>
      </c>
      <c r="K25" s="25">
        <f t="shared" si="13"/>
        <v>600</v>
      </c>
      <c r="L25" s="25">
        <f t="shared" si="13"/>
        <v>600</v>
      </c>
      <c r="M25" s="25">
        <f t="shared" si="13"/>
        <v>600</v>
      </c>
      <c r="N25" s="25">
        <f t="shared" si="13"/>
        <v>600</v>
      </c>
      <c r="O25" s="25">
        <f t="shared" si="13"/>
        <v>600</v>
      </c>
      <c r="P25" s="25">
        <f t="shared" si="5"/>
        <v>600</v>
      </c>
      <c r="Q25" s="25">
        <f t="shared" si="7"/>
        <v>600</v>
      </c>
      <c r="R25" s="25">
        <f t="shared" si="9"/>
        <v>600</v>
      </c>
      <c r="S25" s="25">
        <f t="shared" si="11"/>
        <v>600</v>
      </c>
      <c r="T25" s="25">
        <f t="shared" si="15"/>
        <v>600</v>
      </c>
      <c r="U25" s="3">
        <v>614.47548932964446</v>
      </c>
      <c r="V25" s="3">
        <v>615.16672585034758</v>
      </c>
      <c r="W25" s="3">
        <v>616.75985348159543</v>
      </c>
      <c r="X25" s="25">
        <f t="shared" si="16"/>
        <v>650</v>
      </c>
      <c r="Y25" s="25">
        <f t="shared" si="12"/>
        <v>650</v>
      </c>
      <c r="Z25" s="25">
        <f t="shared" si="10"/>
        <v>650</v>
      </c>
      <c r="AA25" s="25">
        <f t="shared" si="8"/>
        <v>650</v>
      </c>
      <c r="AB25" s="25">
        <f t="shared" si="6"/>
        <v>650</v>
      </c>
      <c r="AC25" s="25">
        <f t="shared" si="14"/>
        <v>650</v>
      </c>
      <c r="AD25" s="25">
        <f t="shared" si="14"/>
        <v>650</v>
      </c>
      <c r="AE25" s="25">
        <f t="shared" si="14"/>
        <v>650</v>
      </c>
      <c r="AF25" s="25">
        <f t="shared" si="14"/>
        <v>650</v>
      </c>
      <c r="AG25" s="25">
        <f t="shared" si="14"/>
        <v>650</v>
      </c>
      <c r="AH25" s="25">
        <f t="shared" si="14"/>
        <v>650</v>
      </c>
      <c r="AI25" s="25">
        <f t="shared" si="14"/>
        <v>650</v>
      </c>
      <c r="AJ25" s="25">
        <f t="shared" si="14"/>
        <v>650</v>
      </c>
      <c r="AK25" s="15">
        <f t="shared" si="14"/>
        <v>650</v>
      </c>
      <c r="AL25" s="16">
        <v>41</v>
      </c>
      <c r="AM25" s="6">
        <f t="shared" si="4"/>
        <v>0.37037037037037035</v>
      </c>
    </row>
    <row r="26" spans="1:39" ht="50.1" customHeight="1" x14ac:dyDescent="0.3">
      <c r="D26" t="s">
        <v>28</v>
      </c>
      <c r="E26" s="5">
        <v>40</v>
      </c>
      <c r="F26" s="22">
        <f t="shared" si="1"/>
        <v>0.3611111111111111</v>
      </c>
      <c r="G26" s="29">
        <f t="shared" si="13"/>
        <v>600</v>
      </c>
      <c r="H26" s="25">
        <f t="shared" si="13"/>
        <v>600</v>
      </c>
      <c r="I26" s="25">
        <f t="shared" si="13"/>
        <v>600</v>
      </c>
      <c r="J26" s="25">
        <f t="shared" si="13"/>
        <v>600</v>
      </c>
      <c r="K26" s="25">
        <f t="shared" si="13"/>
        <v>600</v>
      </c>
      <c r="L26" s="25">
        <f t="shared" si="13"/>
        <v>600</v>
      </c>
      <c r="M26" s="25">
        <f t="shared" si="13"/>
        <v>600</v>
      </c>
      <c r="N26" s="25">
        <f t="shared" si="13"/>
        <v>600</v>
      </c>
      <c r="O26" s="25">
        <f t="shared" si="13"/>
        <v>600</v>
      </c>
      <c r="P26" s="25">
        <f t="shared" si="5"/>
        <v>600</v>
      </c>
      <c r="Q26" s="25">
        <f t="shared" si="7"/>
        <v>600</v>
      </c>
      <c r="R26" s="25">
        <f t="shared" si="9"/>
        <v>600</v>
      </c>
      <c r="S26" s="25">
        <f t="shared" si="11"/>
        <v>600</v>
      </c>
      <c r="T26" s="25">
        <f t="shared" si="15"/>
        <v>600</v>
      </c>
      <c r="U26" s="3">
        <v>612.93273354234236</v>
      </c>
      <c r="V26" s="3">
        <v>613.59034953388493</v>
      </c>
      <c r="W26" s="3">
        <v>615.19568611616637</v>
      </c>
      <c r="X26" s="25">
        <f t="shared" si="16"/>
        <v>650</v>
      </c>
      <c r="Y26" s="25">
        <f t="shared" si="12"/>
        <v>650</v>
      </c>
      <c r="Z26" s="25">
        <f t="shared" si="10"/>
        <v>650</v>
      </c>
      <c r="AA26" s="25">
        <f t="shared" si="8"/>
        <v>650</v>
      </c>
      <c r="AB26" s="25">
        <f t="shared" si="6"/>
        <v>650</v>
      </c>
      <c r="AC26" s="25">
        <f t="shared" si="14"/>
        <v>650</v>
      </c>
      <c r="AD26" s="25">
        <f t="shared" si="14"/>
        <v>650</v>
      </c>
      <c r="AE26" s="25">
        <f t="shared" si="14"/>
        <v>650</v>
      </c>
      <c r="AF26" s="25">
        <f t="shared" si="14"/>
        <v>650</v>
      </c>
      <c r="AG26" s="25">
        <f t="shared" si="14"/>
        <v>650</v>
      </c>
      <c r="AH26" s="25">
        <f t="shared" si="14"/>
        <v>650</v>
      </c>
      <c r="AI26" s="25">
        <f t="shared" si="14"/>
        <v>650</v>
      </c>
      <c r="AJ26" s="25">
        <f t="shared" si="14"/>
        <v>650</v>
      </c>
      <c r="AK26" s="15">
        <f t="shared" si="14"/>
        <v>650</v>
      </c>
      <c r="AL26" s="16">
        <v>40</v>
      </c>
      <c r="AM26" s="6">
        <f t="shared" si="4"/>
        <v>0.3611111111111111</v>
      </c>
    </row>
    <row r="27" spans="1:39" ht="50.1" customHeight="1" x14ac:dyDescent="0.3">
      <c r="E27" s="5">
        <v>39</v>
      </c>
      <c r="F27" s="22">
        <f t="shared" si="1"/>
        <v>0.35185185185185186</v>
      </c>
      <c r="G27" s="29">
        <f t="shared" si="13"/>
        <v>600</v>
      </c>
      <c r="H27" s="25">
        <f t="shared" si="13"/>
        <v>600</v>
      </c>
      <c r="I27" s="25">
        <f t="shared" si="13"/>
        <v>600</v>
      </c>
      <c r="J27" s="25">
        <f t="shared" si="13"/>
        <v>600</v>
      </c>
      <c r="K27" s="25">
        <f t="shared" si="13"/>
        <v>600</v>
      </c>
      <c r="L27" s="25">
        <f t="shared" si="13"/>
        <v>600</v>
      </c>
      <c r="M27" s="25">
        <f t="shared" si="13"/>
        <v>600</v>
      </c>
      <c r="N27" s="25">
        <f t="shared" si="13"/>
        <v>600</v>
      </c>
      <c r="O27" s="25">
        <f t="shared" si="13"/>
        <v>600</v>
      </c>
      <c r="P27" s="25">
        <f t="shared" si="5"/>
        <v>600</v>
      </c>
      <c r="Q27" s="25">
        <f t="shared" si="7"/>
        <v>600</v>
      </c>
      <c r="R27" s="25">
        <f t="shared" si="9"/>
        <v>600</v>
      </c>
      <c r="S27" s="25">
        <f t="shared" si="11"/>
        <v>600</v>
      </c>
      <c r="T27" s="25">
        <f t="shared" si="15"/>
        <v>600</v>
      </c>
      <c r="U27" s="3">
        <v>611.97226828746886</v>
      </c>
      <c r="V27" s="3">
        <v>612.60896763888991</v>
      </c>
      <c r="W27" s="3">
        <v>614.22188288458801</v>
      </c>
      <c r="X27" s="25">
        <f t="shared" si="16"/>
        <v>650</v>
      </c>
      <c r="Y27" s="25">
        <f t="shared" si="12"/>
        <v>650</v>
      </c>
      <c r="Z27" s="25">
        <f t="shared" si="10"/>
        <v>650</v>
      </c>
      <c r="AA27" s="25">
        <f t="shared" si="8"/>
        <v>650</v>
      </c>
      <c r="AB27" s="25">
        <f t="shared" si="6"/>
        <v>650</v>
      </c>
      <c r="AC27" s="25">
        <f t="shared" si="14"/>
        <v>650</v>
      </c>
      <c r="AD27" s="25">
        <f t="shared" si="14"/>
        <v>650</v>
      </c>
      <c r="AE27" s="25">
        <f t="shared" si="14"/>
        <v>650</v>
      </c>
      <c r="AF27" s="25">
        <f t="shared" si="14"/>
        <v>650</v>
      </c>
      <c r="AG27" s="25">
        <f t="shared" si="14"/>
        <v>650</v>
      </c>
      <c r="AH27" s="25">
        <f t="shared" si="14"/>
        <v>650</v>
      </c>
      <c r="AI27" s="25">
        <f t="shared" si="14"/>
        <v>650</v>
      </c>
      <c r="AJ27" s="25">
        <f t="shared" si="14"/>
        <v>650</v>
      </c>
      <c r="AK27" s="15">
        <f t="shared" si="14"/>
        <v>650</v>
      </c>
      <c r="AL27" s="16">
        <v>39</v>
      </c>
      <c r="AM27" s="6">
        <f t="shared" si="4"/>
        <v>0.35185185185185186</v>
      </c>
    </row>
    <row r="28" spans="1:39" ht="50.1" customHeight="1" x14ac:dyDescent="0.3">
      <c r="E28" s="5">
        <v>38</v>
      </c>
      <c r="F28" s="22">
        <f t="shared" si="1"/>
        <v>0.34259259259259256</v>
      </c>
      <c r="G28" s="29">
        <f t="shared" si="13"/>
        <v>600</v>
      </c>
      <c r="H28" s="25">
        <f t="shared" si="13"/>
        <v>600</v>
      </c>
      <c r="I28" s="25">
        <f t="shared" si="13"/>
        <v>600</v>
      </c>
      <c r="J28" s="25">
        <f t="shared" si="13"/>
        <v>600</v>
      </c>
      <c r="K28" s="25">
        <f t="shared" si="13"/>
        <v>600</v>
      </c>
      <c r="L28" s="25">
        <f t="shared" si="13"/>
        <v>600</v>
      </c>
      <c r="M28" s="25">
        <f t="shared" si="13"/>
        <v>600</v>
      </c>
      <c r="N28" s="25">
        <f t="shared" si="13"/>
        <v>600</v>
      </c>
      <c r="O28" s="25">
        <f t="shared" si="13"/>
        <v>600</v>
      </c>
      <c r="P28" s="25">
        <f t="shared" si="5"/>
        <v>600</v>
      </c>
      <c r="Q28" s="25">
        <f t="shared" si="7"/>
        <v>600</v>
      </c>
      <c r="R28" s="25">
        <f t="shared" si="9"/>
        <v>600</v>
      </c>
      <c r="S28" s="25">
        <f t="shared" si="11"/>
        <v>600</v>
      </c>
      <c r="T28" s="25">
        <f t="shared" si="15"/>
        <v>600</v>
      </c>
      <c r="U28" s="3">
        <v>611.37434234882267</v>
      </c>
      <c r="V28" s="3">
        <v>611.99802197086876</v>
      </c>
      <c r="W28" s="3">
        <v>613.6156526311961</v>
      </c>
      <c r="X28" s="25">
        <f t="shared" si="16"/>
        <v>650</v>
      </c>
      <c r="Y28" s="25">
        <f t="shared" si="12"/>
        <v>650</v>
      </c>
      <c r="Z28" s="25">
        <f t="shared" si="10"/>
        <v>650</v>
      </c>
      <c r="AA28" s="25">
        <f t="shared" si="8"/>
        <v>650</v>
      </c>
      <c r="AB28" s="25">
        <f t="shared" si="6"/>
        <v>650</v>
      </c>
      <c r="AC28" s="25">
        <f t="shared" si="14"/>
        <v>650</v>
      </c>
      <c r="AD28" s="25">
        <f t="shared" si="14"/>
        <v>650</v>
      </c>
      <c r="AE28" s="25">
        <f t="shared" si="14"/>
        <v>650</v>
      </c>
      <c r="AF28" s="25">
        <f t="shared" si="14"/>
        <v>650</v>
      </c>
      <c r="AG28" s="25">
        <f t="shared" si="14"/>
        <v>650</v>
      </c>
      <c r="AH28" s="25">
        <f t="shared" si="14"/>
        <v>650</v>
      </c>
      <c r="AI28" s="25">
        <f t="shared" si="14"/>
        <v>650</v>
      </c>
      <c r="AJ28" s="25">
        <f t="shared" si="14"/>
        <v>650</v>
      </c>
      <c r="AK28" s="15">
        <f t="shared" si="14"/>
        <v>650</v>
      </c>
      <c r="AL28" s="16">
        <v>38</v>
      </c>
      <c r="AM28" s="6">
        <f t="shared" si="4"/>
        <v>0.34259259259259256</v>
      </c>
    </row>
    <row r="29" spans="1:39" ht="50.1" customHeight="1" x14ac:dyDescent="0.3">
      <c r="E29" s="5">
        <v>37</v>
      </c>
      <c r="F29" s="22">
        <f t="shared" si="1"/>
        <v>0.33333333333333331</v>
      </c>
      <c r="G29" s="29">
        <f t="shared" si="13"/>
        <v>600</v>
      </c>
      <c r="H29" s="25">
        <f t="shared" si="13"/>
        <v>600</v>
      </c>
      <c r="I29" s="25">
        <f t="shared" si="13"/>
        <v>600</v>
      </c>
      <c r="J29" s="25">
        <f t="shared" si="13"/>
        <v>600</v>
      </c>
      <c r="K29" s="25">
        <f t="shared" si="13"/>
        <v>600</v>
      </c>
      <c r="L29" s="25">
        <f t="shared" si="13"/>
        <v>600</v>
      </c>
      <c r="M29" s="25">
        <f t="shared" si="13"/>
        <v>600</v>
      </c>
      <c r="N29" s="25">
        <f t="shared" si="13"/>
        <v>600</v>
      </c>
      <c r="O29" s="25">
        <f t="shared" si="13"/>
        <v>600</v>
      </c>
      <c r="P29" s="25">
        <f t="shared" si="5"/>
        <v>600</v>
      </c>
      <c r="Q29" s="25">
        <f t="shared" si="7"/>
        <v>600</v>
      </c>
      <c r="R29" s="25">
        <f t="shared" si="9"/>
        <v>600</v>
      </c>
      <c r="S29" s="25">
        <f t="shared" si="11"/>
        <v>600</v>
      </c>
      <c r="T29" s="25">
        <f t="shared" si="15"/>
        <v>600</v>
      </c>
      <c r="U29" s="3">
        <v>611.00213969704339</v>
      </c>
      <c r="V29" s="3">
        <v>611.61771486837335</v>
      </c>
      <c r="W29" s="3">
        <v>613.238280522899</v>
      </c>
      <c r="X29" s="25">
        <f t="shared" si="16"/>
        <v>650</v>
      </c>
      <c r="Y29" s="25">
        <f t="shared" si="12"/>
        <v>650</v>
      </c>
      <c r="Z29" s="25">
        <f t="shared" si="10"/>
        <v>650</v>
      </c>
      <c r="AA29" s="25">
        <f t="shared" si="8"/>
        <v>650</v>
      </c>
      <c r="AB29" s="25">
        <f t="shared" si="6"/>
        <v>650</v>
      </c>
      <c r="AC29" s="25">
        <f t="shared" si="14"/>
        <v>650</v>
      </c>
      <c r="AD29" s="25">
        <f t="shared" si="14"/>
        <v>650</v>
      </c>
      <c r="AE29" s="25">
        <f t="shared" si="14"/>
        <v>650</v>
      </c>
      <c r="AF29" s="25">
        <f t="shared" si="14"/>
        <v>650</v>
      </c>
      <c r="AG29" s="25">
        <f t="shared" si="14"/>
        <v>650</v>
      </c>
      <c r="AH29" s="25">
        <f t="shared" si="14"/>
        <v>650</v>
      </c>
      <c r="AI29" s="25">
        <f t="shared" si="14"/>
        <v>650</v>
      </c>
      <c r="AJ29" s="25">
        <f t="shared" si="14"/>
        <v>650</v>
      </c>
      <c r="AK29" s="15">
        <f t="shared" si="14"/>
        <v>650</v>
      </c>
      <c r="AL29" s="16">
        <v>37</v>
      </c>
      <c r="AM29" s="6">
        <f t="shared" si="4"/>
        <v>0.33333333333333331</v>
      </c>
    </row>
    <row r="30" spans="1:39" ht="50.1" customHeight="1" x14ac:dyDescent="0.3">
      <c r="E30" s="5">
        <v>36</v>
      </c>
      <c r="F30" s="22">
        <f t="shared" si="1"/>
        <v>0.32407407407407407</v>
      </c>
      <c r="G30" s="29">
        <f t="shared" si="13"/>
        <v>600</v>
      </c>
      <c r="H30" s="25">
        <f t="shared" si="13"/>
        <v>600</v>
      </c>
      <c r="I30" s="25">
        <f t="shared" si="13"/>
        <v>600</v>
      </c>
      <c r="J30" s="25">
        <f t="shared" si="13"/>
        <v>600</v>
      </c>
      <c r="K30" s="25">
        <f t="shared" si="13"/>
        <v>600</v>
      </c>
      <c r="L30" s="25">
        <f t="shared" si="13"/>
        <v>600</v>
      </c>
      <c r="M30" s="25">
        <f t="shared" si="13"/>
        <v>600</v>
      </c>
      <c r="N30" s="25">
        <f t="shared" si="13"/>
        <v>600</v>
      </c>
      <c r="O30" s="25">
        <f t="shared" si="13"/>
        <v>600</v>
      </c>
      <c r="P30" s="25">
        <f t="shared" si="5"/>
        <v>600</v>
      </c>
      <c r="Q30" s="25">
        <f t="shared" si="7"/>
        <v>600</v>
      </c>
      <c r="R30" s="25">
        <f t="shared" si="9"/>
        <v>600</v>
      </c>
      <c r="S30" s="25">
        <f t="shared" si="11"/>
        <v>600</v>
      </c>
      <c r="T30" s="25">
        <f t="shared" si="15"/>
        <v>600</v>
      </c>
      <c r="U30" s="3">
        <v>610.770491644907</v>
      </c>
      <c r="V30" s="3">
        <v>611.381022865707</v>
      </c>
      <c r="W30" s="3">
        <v>613.00341513959359</v>
      </c>
      <c r="X30" s="25">
        <f t="shared" si="16"/>
        <v>650</v>
      </c>
      <c r="Y30" s="25">
        <f t="shared" si="12"/>
        <v>650</v>
      </c>
      <c r="Z30" s="25">
        <f t="shared" si="10"/>
        <v>650</v>
      </c>
      <c r="AA30" s="25">
        <f t="shared" si="8"/>
        <v>650</v>
      </c>
      <c r="AB30" s="25">
        <f t="shared" si="6"/>
        <v>650</v>
      </c>
      <c r="AC30" s="25">
        <f t="shared" si="14"/>
        <v>650</v>
      </c>
      <c r="AD30" s="25">
        <f t="shared" si="14"/>
        <v>650</v>
      </c>
      <c r="AE30" s="25">
        <f t="shared" si="14"/>
        <v>650</v>
      </c>
      <c r="AF30" s="25">
        <f t="shared" si="14"/>
        <v>650</v>
      </c>
      <c r="AG30" s="25">
        <f t="shared" si="14"/>
        <v>650</v>
      </c>
      <c r="AH30" s="25">
        <f t="shared" si="14"/>
        <v>650</v>
      </c>
      <c r="AI30" s="25">
        <f t="shared" si="14"/>
        <v>650</v>
      </c>
      <c r="AJ30" s="25">
        <f t="shared" si="14"/>
        <v>650</v>
      </c>
      <c r="AK30" s="15">
        <f t="shared" si="14"/>
        <v>650</v>
      </c>
      <c r="AL30" s="16">
        <v>36</v>
      </c>
      <c r="AM30" s="6">
        <f t="shared" si="4"/>
        <v>0.32407407407407407</v>
      </c>
    </row>
    <row r="31" spans="1:39" ht="50.1" customHeight="1" x14ac:dyDescent="0.3">
      <c r="E31" s="5">
        <v>35</v>
      </c>
      <c r="F31" s="22">
        <f t="shared" si="1"/>
        <v>0.31481481481481477</v>
      </c>
      <c r="G31" s="29">
        <f t="shared" ref="G31:O40" si="17">$R$2</f>
        <v>600</v>
      </c>
      <c r="H31" s="25">
        <f t="shared" si="17"/>
        <v>600</v>
      </c>
      <c r="I31" s="25">
        <f t="shared" si="17"/>
        <v>600</v>
      </c>
      <c r="J31" s="25">
        <f t="shared" si="17"/>
        <v>600</v>
      </c>
      <c r="K31" s="25">
        <f t="shared" si="17"/>
        <v>600</v>
      </c>
      <c r="L31" s="25">
        <f t="shared" si="17"/>
        <v>600</v>
      </c>
      <c r="M31" s="25">
        <f t="shared" si="17"/>
        <v>600</v>
      </c>
      <c r="N31" s="25">
        <f t="shared" si="17"/>
        <v>600</v>
      </c>
      <c r="O31" s="25">
        <f t="shared" si="17"/>
        <v>600</v>
      </c>
      <c r="P31" s="25">
        <f t="shared" si="5"/>
        <v>600</v>
      </c>
      <c r="Q31" s="25">
        <f t="shared" si="7"/>
        <v>600</v>
      </c>
      <c r="R31" s="25">
        <f t="shared" si="9"/>
        <v>600</v>
      </c>
      <c r="S31" s="25">
        <f t="shared" si="11"/>
        <v>600</v>
      </c>
      <c r="T31" s="25">
        <f t="shared" si="15"/>
        <v>600</v>
      </c>
      <c r="U31" s="3">
        <v>610.62639177814879</v>
      </c>
      <c r="V31" s="3">
        <v>611.23378534258313</v>
      </c>
      <c r="W31" s="3">
        <v>612.85731388613408</v>
      </c>
      <c r="X31" s="25">
        <f t="shared" si="16"/>
        <v>650</v>
      </c>
      <c r="Y31" s="25">
        <f t="shared" si="12"/>
        <v>650</v>
      </c>
      <c r="Z31" s="25">
        <f t="shared" si="10"/>
        <v>650</v>
      </c>
      <c r="AA31" s="25">
        <f t="shared" si="8"/>
        <v>650</v>
      </c>
      <c r="AB31" s="25">
        <f t="shared" si="6"/>
        <v>650</v>
      </c>
      <c r="AC31" s="25">
        <f t="shared" ref="AC31:AK40" si="18">$R$3</f>
        <v>650</v>
      </c>
      <c r="AD31" s="25">
        <f t="shared" si="18"/>
        <v>650</v>
      </c>
      <c r="AE31" s="25">
        <f t="shared" si="18"/>
        <v>650</v>
      </c>
      <c r="AF31" s="25">
        <f t="shared" si="18"/>
        <v>650</v>
      </c>
      <c r="AG31" s="25">
        <f t="shared" si="18"/>
        <v>650</v>
      </c>
      <c r="AH31" s="25">
        <f t="shared" si="18"/>
        <v>650</v>
      </c>
      <c r="AI31" s="25">
        <f t="shared" si="18"/>
        <v>650</v>
      </c>
      <c r="AJ31" s="25">
        <f t="shared" si="18"/>
        <v>650</v>
      </c>
      <c r="AK31" s="15">
        <f t="shared" si="18"/>
        <v>650</v>
      </c>
      <c r="AL31" s="16">
        <v>35</v>
      </c>
      <c r="AM31" s="6">
        <f t="shared" si="4"/>
        <v>0.31481481481481477</v>
      </c>
    </row>
    <row r="32" spans="1:39" ht="50.1" customHeight="1" x14ac:dyDescent="0.3">
      <c r="E32" s="5">
        <v>34</v>
      </c>
      <c r="F32" s="22">
        <f t="shared" si="1"/>
        <v>0.30555555555555552</v>
      </c>
      <c r="G32" s="29">
        <f t="shared" si="17"/>
        <v>600</v>
      </c>
      <c r="H32" s="25">
        <f t="shared" si="17"/>
        <v>600</v>
      </c>
      <c r="I32" s="25">
        <f t="shared" si="17"/>
        <v>600</v>
      </c>
      <c r="J32" s="25">
        <f t="shared" si="17"/>
        <v>600</v>
      </c>
      <c r="K32" s="25">
        <f t="shared" si="17"/>
        <v>600</v>
      </c>
      <c r="L32" s="25">
        <f t="shared" si="17"/>
        <v>600</v>
      </c>
      <c r="M32" s="25">
        <f t="shared" si="17"/>
        <v>600</v>
      </c>
      <c r="N32" s="25">
        <f t="shared" si="17"/>
        <v>600</v>
      </c>
      <c r="O32" s="25">
        <f t="shared" si="17"/>
        <v>600</v>
      </c>
      <c r="P32" s="25">
        <f t="shared" si="5"/>
        <v>600</v>
      </c>
      <c r="Q32" s="25">
        <f t="shared" si="7"/>
        <v>600</v>
      </c>
      <c r="R32" s="25">
        <f t="shared" si="9"/>
        <v>600</v>
      </c>
      <c r="S32" s="25">
        <f t="shared" si="11"/>
        <v>600</v>
      </c>
      <c r="T32" s="25">
        <f t="shared" si="15"/>
        <v>600</v>
      </c>
      <c r="U32" s="3">
        <v>610.53686824965905</v>
      </c>
      <c r="V32" s="3">
        <v>611.1423125130226</v>
      </c>
      <c r="W32" s="3">
        <v>612.76654697534354</v>
      </c>
      <c r="X32" s="25">
        <f t="shared" si="16"/>
        <v>650</v>
      </c>
      <c r="Y32" s="25">
        <f t="shared" si="12"/>
        <v>650</v>
      </c>
      <c r="Z32" s="25">
        <f t="shared" si="10"/>
        <v>650</v>
      </c>
      <c r="AA32" s="25">
        <f t="shared" si="8"/>
        <v>650</v>
      </c>
      <c r="AB32" s="25">
        <f t="shared" si="6"/>
        <v>650</v>
      </c>
      <c r="AC32" s="25">
        <f t="shared" si="18"/>
        <v>650</v>
      </c>
      <c r="AD32" s="25">
        <f t="shared" si="18"/>
        <v>650</v>
      </c>
      <c r="AE32" s="25">
        <f t="shared" si="18"/>
        <v>650</v>
      </c>
      <c r="AF32" s="25">
        <f t="shared" si="18"/>
        <v>650</v>
      </c>
      <c r="AG32" s="25">
        <f t="shared" si="18"/>
        <v>650</v>
      </c>
      <c r="AH32" s="25">
        <f t="shared" si="18"/>
        <v>650</v>
      </c>
      <c r="AI32" s="25">
        <f t="shared" si="18"/>
        <v>650</v>
      </c>
      <c r="AJ32" s="25">
        <f t="shared" si="18"/>
        <v>650</v>
      </c>
      <c r="AK32" s="15">
        <f t="shared" si="18"/>
        <v>650</v>
      </c>
      <c r="AL32" s="16">
        <v>34</v>
      </c>
      <c r="AM32" s="6">
        <f t="shared" si="4"/>
        <v>0.30555555555555552</v>
      </c>
    </row>
    <row r="33" spans="4:39" ht="50.1" customHeight="1" x14ac:dyDescent="0.3">
      <c r="E33" s="5">
        <v>33</v>
      </c>
      <c r="F33" s="22">
        <f t="shared" si="1"/>
        <v>0.29629629629629628</v>
      </c>
      <c r="G33" s="29">
        <f t="shared" si="17"/>
        <v>600</v>
      </c>
      <c r="H33" s="25">
        <f t="shared" si="17"/>
        <v>600</v>
      </c>
      <c r="I33" s="25">
        <f t="shared" si="17"/>
        <v>600</v>
      </c>
      <c r="J33" s="25">
        <f t="shared" si="17"/>
        <v>600</v>
      </c>
      <c r="K33" s="25">
        <f t="shared" si="17"/>
        <v>600</v>
      </c>
      <c r="L33" s="25">
        <f t="shared" si="17"/>
        <v>600</v>
      </c>
      <c r="M33" s="25">
        <f t="shared" si="17"/>
        <v>600</v>
      </c>
      <c r="N33" s="25">
        <f t="shared" si="17"/>
        <v>600</v>
      </c>
      <c r="O33" s="25">
        <f t="shared" si="17"/>
        <v>600</v>
      </c>
      <c r="P33" s="25">
        <f t="shared" si="5"/>
        <v>600</v>
      </c>
      <c r="Q33" s="25">
        <f t="shared" si="7"/>
        <v>600</v>
      </c>
      <c r="R33" s="25">
        <f t="shared" si="9"/>
        <v>600</v>
      </c>
      <c r="S33" s="25">
        <f t="shared" si="11"/>
        <v>600</v>
      </c>
      <c r="T33" s="25">
        <f t="shared" si="15"/>
        <v>600</v>
      </c>
      <c r="U33" s="3">
        <v>610.4814401867568</v>
      </c>
      <c r="V33" s="3">
        <v>611.08567754975604</v>
      </c>
      <c r="W33" s="3">
        <v>612.71034907823878</v>
      </c>
      <c r="X33" s="25">
        <f t="shared" si="16"/>
        <v>650</v>
      </c>
      <c r="Y33" s="25">
        <f t="shared" si="12"/>
        <v>650</v>
      </c>
      <c r="Z33" s="25">
        <f t="shared" si="10"/>
        <v>650</v>
      </c>
      <c r="AA33" s="25">
        <f t="shared" si="8"/>
        <v>650</v>
      </c>
      <c r="AB33" s="25">
        <f t="shared" si="6"/>
        <v>650</v>
      </c>
      <c r="AC33" s="25">
        <f t="shared" si="18"/>
        <v>650</v>
      </c>
      <c r="AD33" s="25">
        <f t="shared" si="18"/>
        <v>650</v>
      </c>
      <c r="AE33" s="25">
        <f t="shared" si="18"/>
        <v>650</v>
      </c>
      <c r="AF33" s="25">
        <f t="shared" si="18"/>
        <v>650</v>
      </c>
      <c r="AG33" s="25">
        <f t="shared" si="18"/>
        <v>650</v>
      </c>
      <c r="AH33" s="25">
        <f t="shared" si="18"/>
        <v>650</v>
      </c>
      <c r="AI33" s="25">
        <f t="shared" si="18"/>
        <v>650</v>
      </c>
      <c r="AJ33" s="25">
        <f t="shared" si="18"/>
        <v>650</v>
      </c>
      <c r="AK33" s="15">
        <f t="shared" si="18"/>
        <v>650</v>
      </c>
      <c r="AL33" s="16">
        <v>33</v>
      </c>
      <c r="AM33" s="6">
        <f t="shared" si="4"/>
        <v>0.29629629629629628</v>
      </c>
    </row>
    <row r="34" spans="4:39" ht="50.1" customHeight="1" x14ac:dyDescent="0.3">
      <c r="E34" s="5">
        <v>32</v>
      </c>
      <c r="F34" s="22">
        <f t="shared" si="1"/>
        <v>0.28703703703703703</v>
      </c>
      <c r="G34" s="29">
        <f t="shared" si="17"/>
        <v>600</v>
      </c>
      <c r="H34" s="25">
        <f t="shared" si="17"/>
        <v>600</v>
      </c>
      <c r="I34" s="25">
        <f t="shared" si="17"/>
        <v>600</v>
      </c>
      <c r="J34" s="25">
        <f t="shared" si="17"/>
        <v>600</v>
      </c>
      <c r="K34" s="25">
        <f t="shared" si="17"/>
        <v>600</v>
      </c>
      <c r="L34" s="25">
        <f t="shared" si="17"/>
        <v>600</v>
      </c>
      <c r="M34" s="25">
        <f t="shared" si="17"/>
        <v>600</v>
      </c>
      <c r="N34" s="25">
        <f t="shared" si="17"/>
        <v>600</v>
      </c>
      <c r="O34" s="25">
        <f t="shared" si="17"/>
        <v>600</v>
      </c>
      <c r="P34" s="25">
        <f t="shared" si="5"/>
        <v>600</v>
      </c>
      <c r="Q34" s="25">
        <f t="shared" si="7"/>
        <v>600</v>
      </c>
      <c r="R34" s="25">
        <f t="shared" si="9"/>
        <v>600</v>
      </c>
      <c r="S34" s="25">
        <f t="shared" si="11"/>
        <v>600</v>
      </c>
      <c r="T34" s="25">
        <f t="shared" si="15"/>
        <v>600</v>
      </c>
      <c r="U34" s="3">
        <v>610.44743254300226</v>
      </c>
      <c r="V34" s="3">
        <v>611.05092941760529</v>
      </c>
      <c r="W34" s="3">
        <v>612.6758691060993</v>
      </c>
      <c r="X34" s="25">
        <f t="shared" si="16"/>
        <v>650</v>
      </c>
      <c r="Y34" s="25">
        <f t="shared" si="12"/>
        <v>650</v>
      </c>
      <c r="Z34" s="25">
        <f t="shared" si="10"/>
        <v>650</v>
      </c>
      <c r="AA34" s="25">
        <f t="shared" si="8"/>
        <v>650</v>
      </c>
      <c r="AB34" s="25">
        <f t="shared" si="6"/>
        <v>650</v>
      </c>
      <c r="AC34" s="25">
        <f t="shared" si="18"/>
        <v>650</v>
      </c>
      <c r="AD34" s="25">
        <f t="shared" si="18"/>
        <v>650</v>
      </c>
      <c r="AE34" s="25">
        <f t="shared" si="18"/>
        <v>650</v>
      </c>
      <c r="AF34" s="25">
        <f t="shared" si="18"/>
        <v>650</v>
      </c>
      <c r="AG34" s="25">
        <f t="shared" si="18"/>
        <v>650</v>
      </c>
      <c r="AH34" s="25">
        <f t="shared" si="18"/>
        <v>650</v>
      </c>
      <c r="AI34" s="25">
        <f t="shared" si="18"/>
        <v>650</v>
      </c>
      <c r="AJ34" s="25">
        <f t="shared" si="18"/>
        <v>650</v>
      </c>
      <c r="AK34" s="15">
        <f t="shared" si="18"/>
        <v>650</v>
      </c>
      <c r="AL34" s="16">
        <v>32</v>
      </c>
      <c r="AM34" s="6">
        <f t="shared" si="4"/>
        <v>0.28703703703703703</v>
      </c>
    </row>
    <row r="35" spans="4:39" ht="50.1" customHeight="1" x14ac:dyDescent="0.3">
      <c r="E35" s="5">
        <v>31</v>
      </c>
      <c r="F35" s="22">
        <f t="shared" ref="F35:F64" si="19">$B$6*(E35-1)</f>
        <v>0.27777777777777779</v>
      </c>
      <c r="G35" s="29">
        <f t="shared" si="17"/>
        <v>600</v>
      </c>
      <c r="H35" s="25">
        <f t="shared" si="17"/>
        <v>600</v>
      </c>
      <c r="I35" s="25">
        <f t="shared" si="17"/>
        <v>600</v>
      </c>
      <c r="J35" s="25">
        <f t="shared" si="17"/>
        <v>600</v>
      </c>
      <c r="K35" s="25">
        <f t="shared" si="17"/>
        <v>600</v>
      </c>
      <c r="L35" s="25">
        <f t="shared" si="17"/>
        <v>600</v>
      </c>
      <c r="M35" s="25">
        <f t="shared" si="17"/>
        <v>600</v>
      </c>
      <c r="N35" s="25">
        <f t="shared" si="17"/>
        <v>600</v>
      </c>
      <c r="O35" s="25">
        <f t="shared" si="17"/>
        <v>600</v>
      </c>
      <c r="P35" s="25">
        <f t="shared" si="5"/>
        <v>600</v>
      </c>
      <c r="Q35" s="25">
        <f t="shared" si="7"/>
        <v>600</v>
      </c>
      <c r="R35" s="25">
        <f t="shared" si="9"/>
        <v>600</v>
      </c>
      <c r="S35" s="25">
        <f t="shared" si="11"/>
        <v>600</v>
      </c>
      <c r="T35" s="25">
        <f t="shared" si="15"/>
        <v>600</v>
      </c>
      <c r="U35" s="3">
        <v>610.42707766367619</v>
      </c>
      <c r="V35" s="3">
        <v>611.03013132756928</v>
      </c>
      <c r="W35" s="3">
        <v>612.65523152011622</v>
      </c>
      <c r="X35" s="25">
        <f t="shared" si="16"/>
        <v>650</v>
      </c>
      <c r="Y35" s="25">
        <f t="shared" si="12"/>
        <v>650</v>
      </c>
      <c r="Z35" s="25">
        <f t="shared" si="10"/>
        <v>650</v>
      </c>
      <c r="AA35" s="25">
        <f t="shared" si="8"/>
        <v>650</v>
      </c>
      <c r="AB35" s="25">
        <f t="shared" si="6"/>
        <v>650</v>
      </c>
      <c r="AC35" s="25">
        <f t="shared" si="18"/>
        <v>650</v>
      </c>
      <c r="AD35" s="25">
        <f t="shared" si="18"/>
        <v>650</v>
      </c>
      <c r="AE35" s="25">
        <f t="shared" si="18"/>
        <v>650</v>
      </c>
      <c r="AF35" s="25">
        <f t="shared" si="18"/>
        <v>650</v>
      </c>
      <c r="AG35" s="25">
        <f t="shared" si="18"/>
        <v>650</v>
      </c>
      <c r="AH35" s="25">
        <f t="shared" si="18"/>
        <v>650</v>
      </c>
      <c r="AI35" s="25">
        <f t="shared" si="18"/>
        <v>650</v>
      </c>
      <c r="AJ35" s="25">
        <f t="shared" si="18"/>
        <v>650</v>
      </c>
      <c r="AK35" s="15">
        <f t="shared" si="18"/>
        <v>650</v>
      </c>
      <c r="AL35" s="16">
        <v>31</v>
      </c>
      <c r="AM35" s="6">
        <f t="shared" ref="AM35:AM64" si="20">$B$6*(AL35-1)</f>
        <v>0.27777777777777779</v>
      </c>
    </row>
    <row r="36" spans="4:39" ht="50.1" customHeight="1" x14ac:dyDescent="0.3">
      <c r="E36" s="5">
        <v>30</v>
      </c>
      <c r="F36" s="22">
        <f t="shared" si="19"/>
        <v>0.26851851851851849</v>
      </c>
      <c r="G36" s="29">
        <f t="shared" si="17"/>
        <v>600</v>
      </c>
      <c r="H36" s="25">
        <f t="shared" si="17"/>
        <v>600</v>
      </c>
      <c r="I36" s="25">
        <f t="shared" si="17"/>
        <v>600</v>
      </c>
      <c r="J36" s="25">
        <f t="shared" si="17"/>
        <v>600</v>
      </c>
      <c r="K36" s="25">
        <f t="shared" si="17"/>
        <v>600</v>
      </c>
      <c r="L36" s="25">
        <f t="shared" si="17"/>
        <v>600</v>
      </c>
      <c r="M36" s="25">
        <f t="shared" si="17"/>
        <v>600</v>
      </c>
      <c r="N36" s="25">
        <f t="shared" si="17"/>
        <v>600</v>
      </c>
      <c r="O36" s="25">
        <f t="shared" si="17"/>
        <v>600</v>
      </c>
      <c r="P36" s="25">
        <f t="shared" si="5"/>
        <v>600</v>
      </c>
      <c r="Q36" s="25">
        <f t="shared" si="7"/>
        <v>600</v>
      </c>
      <c r="R36" s="25">
        <f t="shared" si="9"/>
        <v>600</v>
      </c>
      <c r="S36" s="25">
        <f t="shared" si="11"/>
        <v>600</v>
      </c>
      <c r="T36" s="25">
        <f t="shared" si="15"/>
        <v>600</v>
      </c>
      <c r="U36" s="3">
        <v>610.41574073915149</v>
      </c>
      <c r="V36" s="3">
        <v>611.01854755086322</v>
      </c>
      <c r="W36" s="3">
        <v>612.64373713830651</v>
      </c>
      <c r="X36" s="25">
        <f t="shared" si="16"/>
        <v>650</v>
      </c>
      <c r="Y36" s="25">
        <f t="shared" si="12"/>
        <v>650</v>
      </c>
      <c r="Z36" s="25">
        <f t="shared" si="10"/>
        <v>650</v>
      </c>
      <c r="AA36" s="25">
        <f t="shared" si="8"/>
        <v>650</v>
      </c>
      <c r="AB36" s="25">
        <f t="shared" si="6"/>
        <v>650</v>
      </c>
      <c r="AC36" s="25">
        <f t="shared" si="18"/>
        <v>650</v>
      </c>
      <c r="AD36" s="25">
        <f t="shared" si="18"/>
        <v>650</v>
      </c>
      <c r="AE36" s="25">
        <f t="shared" si="18"/>
        <v>650</v>
      </c>
      <c r="AF36" s="25">
        <f t="shared" si="18"/>
        <v>650</v>
      </c>
      <c r="AG36" s="25">
        <f t="shared" si="18"/>
        <v>650</v>
      </c>
      <c r="AH36" s="25">
        <f t="shared" si="18"/>
        <v>650</v>
      </c>
      <c r="AI36" s="25">
        <f t="shared" si="18"/>
        <v>650</v>
      </c>
      <c r="AJ36" s="25">
        <f t="shared" si="18"/>
        <v>650</v>
      </c>
      <c r="AK36" s="15">
        <f t="shared" si="18"/>
        <v>650</v>
      </c>
      <c r="AL36" s="16">
        <v>30</v>
      </c>
      <c r="AM36" s="6">
        <f t="shared" si="20"/>
        <v>0.26851851851851849</v>
      </c>
    </row>
    <row r="37" spans="4:39" ht="50.1" customHeight="1" x14ac:dyDescent="0.3">
      <c r="E37" s="5">
        <v>29</v>
      </c>
      <c r="F37" s="22">
        <f t="shared" si="19"/>
        <v>0.25925925925925924</v>
      </c>
      <c r="G37" s="29">
        <f t="shared" si="17"/>
        <v>600</v>
      </c>
      <c r="H37" s="25">
        <f t="shared" si="17"/>
        <v>600</v>
      </c>
      <c r="I37" s="25">
        <f t="shared" si="17"/>
        <v>600</v>
      </c>
      <c r="J37" s="25">
        <f t="shared" si="17"/>
        <v>600</v>
      </c>
      <c r="K37" s="25">
        <f t="shared" si="17"/>
        <v>600</v>
      </c>
      <c r="L37" s="25">
        <f t="shared" si="17"/>
        <v>600</v>
      </c>
      <c r="M37" s="25">
        <f t="shared" si="17"/>
        <v>600</v>
      </c>
      <c r="N37" s="25">
        <f t="shared" si="17"/>
        <v>600</v>
      </c>
      <c r="O37" s="25">
        <f t="shared" si="17"/>
        <v>600</v>
      </c>
      <c r="P37" s="25">
        <f t="shared" si="5"/>
        <v>600</v>
      </c>
      <c r="Q37" s="25">
        <f t="shared" si="7"/>
        <v>600</v>
      </c>
      <c r="R37" s="25">
        <f t="shared" si="9"/>
        <v>600</v>
      </c>
      <c r="S37" s="25">
        <f t="shared" si="11"/>
        <v>600</v>
      </c>
      <c r="T37" s="25">
        <f t="shared" si="15"/>
        <v>600</v>
      </c>
      <c r="U37" s="3">
        <v>610.41086365218734</v>
      </c>
      <c r="V37" s="3">
        <v>611.01356426935286</v>
      </c>
      <c r="W37" s="3">
        <v>612.63879231402325</v>
      </c>
      <c r="X37" s="25">
        <f t="shared" si="16"/>
        <v>650</v>
      </c>
      <c r="Y37" s="25">
        <f t="shared" si="12"/>
        <v>650</v>
      </c>
      <c r="Z37" s="25">
        <f t="shared" si="10"/>
        <v>650</v>
      </c>
      <c r="AA37" s="25">
        <f t="shared" si="8"/>
        <v>650</v>
      </c>
      <c r="AB37" s="25">
        <f t="shared" si="6"/>
        <v>650</v>
      </c>
      <c r="AC37" s="25">
        <f t="shared" si="18"/>
        <v>650</v>
      </c>
      <c r="AD37" s="25">
        <f t="shared" si="18"/>
        <v>650</v>
      </c>
      <c r="AE37" s="25">
        <f t="shared" si="18"/>
        <v>650</v>
      </c>
      <c r="AF37" s="25">
        <f t="shared" si="18"/>
        <v>650</v>
      </c>
      <c r="AG37" s="25">
        <f t="shared" si="18"/>
        <v>650</v>
      </c>
      <c r="AH37" s="25">
        <f t="shared" si="18"/>
        <v>650</v>
      </c>
      <c r="AI37" s="25">
        <f t="shared" si="18"/>
        <v>650</v>
      </c>
      <c r="AJ37" s="25">
        <f t="shared" si="18"/>
        <v>650</v>
      </c>
      <c r="AK37" s="15">
        <f t="shared" si="18"/>
        <v>650</v>
      </c>
      <c r="AL37" s="16">
        <v>29</v>
      </c>
      <c r="AM37" s="6">
        <f t="shared" si="20"/>
        <v>0.25925925925925924</v>
      </c>
    </row>
    <row r="38" spans="4:39" ht="50.1" customHeight="1" x14ac:dyDescent="0.3">
      <c r="E38" s="5">
        <v>28</v>
      </c>
      <c r="F38" s="22">
        <f t="shared" si="19"/>
        <v>0.25</v>
      </c>
      <c r="G38" s="29">
        <f t="shared" si="17"/>
        <v>600</v>
      </c>
      <c r="H38" s="25">
        <f t="shared" si="17"/>
        <v>600</v>
      </c>
      <c r="I38" s="25">
        <f t="shared" si="17"/>
        <v>600</v>
      </c>
      <c r="J38" s="25">
        <f t="shared" si="17"/>
        <v>600</v>
      </c>
      <c r="K38" s="25">
        <f t="shared" si="17"/>
        <v>600</v>
      </c>
      <c r="L38" s="25">
        <f t="shared" si="17"/>
        <v>600</v>
      </c>
      <c r="M38" s="25">
        <f t="shared" si="17"/>
        <v>600</v>
      </c>
      <c r="N38" s="25">
        <f t="shared" si="17"/>
        <v>600</v>
      </c>
      <c r="O38" s="25">
        <f t="shared" si="17"/>
        <v>600</v>
      </c>
      <c r="P38" s="25">
        <f t="shared" si="5"/>
        <v>600</v>
      </c>
      <c r="Q38" s="25">
        <f t="shared" si="7"/>
        <v>600</v>
      </c>
      <c r="R38" s="25">
        <f t="shared" si="9"/>
        <v>600</v>
      </c>
      <c r="S38" s="25">
        <f t="shared" si="11"/>
        <v>600</v>
      </c>
      <c r="T38" s="25">
        <f t="shared" si="15"/>
        <v>600</v>
      </c>
      <c r="U38" s="3">
        <v>610.41138638096322</v>
      </c>
      <c r="V38" s="3">
        <v>611.01409838011841</v>
      </c>
      <c r="W38" s="3">
        <v>612.6393223029205</v>
      </c>
      <c r="X38" s="25">
        <f t="shared" si="16"/>
        <v>650</v>
      </c>
      <c r="Y38" s="25">
        <f t="shared" si="12"/>
        <v>650</v>
      </c>
      <c r="Z38" s="25">
        <f t="shared" si="10"/>
        <v>650</v>
      </c>
      <c r="AA38" s="25">
        <f t="shared" si="8"/>
        <v>650</v>
      </c>
      <c r="AB38" s="25">
        <f t="shared" si="6"/>
        <v>650</v>
      </c>
      <c r="AC38" s="25">
        <f t="shared" si="18"/>
        <v>650</v>
      </c>
      <c r="AD38" s="25">
        <f t="shared" si="18"/>
        <v>650</v>
      </c>
      <c r="AE38" s="25">
        <f t="shared" si="18"/>
        <v>650</v>
      </c>
      <c r="AF38" s="25">
        <f t="shared" si="18"/>
        <v>650</v>
      </c>
      <c r="AG38" s="25">
        <f t="shared" si="18"/>
        <v>650</v>
      </c>
      <c r="AH38" s="25">
        <f t="shared" si="18"/>
        <v>650</v>
      </c>
      <c r="AI38" s="25">
        <f t="shared" si="18"/>
        <v>650</v>
      </c>
      <c r="AJ38" s="25">
        <f t="shared" si="18"/>
        <v>650</v>
      </c>
      <c r="AK38" s="15">
        <f t="shared" si="18"/>
        <v>650</v>
      </c>
      <c r="AL38" s="16">
        <v>28</v>
      </c>
      <c r="AM38" s="6">
        <f t="shared" si="20"/>
        <v>0.25</v>
      </c>
    </row>
    <row r="39" spans="4:39" ht="50.1" customHeight="1" x14ac:dyDescent="0.3">
      <c r="E39" s="5">
        <v>27</v>
      </c>
      <c r="F39" s="22">
        <f t="shared" si="19"/>
        <v>0.24074074074074073</v>
      </c>
      <c r="G39" s="29">
        <f t="shared" si="17"/>
        <v>600</v>
      </c>
      <c r="H39" s="25">
        <f t="shared" si="17"/>
        <v>600</v>
      </c>
      <c r="I39" s="25">
        <f t="shared" si="17"/>
        <v>600</v>
      </c>
      <c r="J39" s="25">
        <f t="shared" si="17"/>
        <v>600</v>
      </c>
      <c r="K39" s="25">
        <f t="shared" si="17"/>
        <v>600</v>
      </c>
      <c r="L39" s="25">
        <f t="shared" si="17"/>
        <v>600</v>
      </c>
      <c r="M39" s="25">
        <f t="shared" si="17"/>
        <v>600</v>
      </c>
      <c r="N39" s="25">
        <f t="shared" si="17"/>
        <v>600</v>
      </c>
      <c r="O39" s="25">
        <f t="shared" si="17"/>
        <v>600</v>
      </c>
      <c r="P39" s="25">
        <f t="shared" si="5"/>
        <v>600</v>
      </c>
      <c r="Q39" s="25">
        <f t="shared" si="7"/>
        <v>600</v>
      </c>
      <c r="R39" s="25">
        <f t="shared" si="9"/>
        <v>600</v>
      </c>
      <c r="S39" s="25">
        <f t="shared" si="11"/>
        <v>600</v>
      </c>
      <c r="T39" s="25">
        <f t="shared" si="15"/>
        <v>600</v>
      </c>
      <c r="U39" s="3">
        <v>610.41751482334905</v>
      </c>
      <c r="V39" s="3">
        <v>611.02036026429698</v>
      </c>
      <c r="W39" s="3">
        <v>612.64553586255761</v>
      </c>
      <c r="X39" s="25">
        <f t="shared" si="16"/>
        <v>650</v>
      </c>
      <c r="Y39" s="25">
        <f t="shared" si="12"/>
        <v>650</v>
      </c>
      <c r="Z39" s="25">
        <f t="shared" si="10"/>
        <v>650</v>
      </c>
      <c r="AA39" s="25">
        <f t="shared" si="8"/>
        <v>650</v>
      </c>
      <c r="AB39" s="25">
        <f t="shared" si="6"/>
        <v>650</v>
      </c>
      <c r="AC39" s="25">
        <f t="shared" si="18"/>
        <v>650</v>
      </c>
      <c r="AD39" s="25">
        <f t="shared" si="18"/>
        <v>650</v>
      </c>
      <c r="AE39" s="25">
        <f t="shared" si="18"/>
        <v>650</v>
      </c>
      <c r="AF39" s="25">
        <f t="shared" si="18"/>
        <v>650</v>
      </c>
      <c r="AG39" s="25">
        <f t="shared" si="18"/>
        <v>650</v>
      </c>
      <c r="AH39" s="25">
        <f t="shared" si="18"/>
        <v>650</v>
      </c>
      <c r="AI39" s="25">
        <f t="shared" si="18"/>
        <v>650</v>
      </c>
      <c r="AJ39" s="25">
        <f t="shared" si="18"/>
        <v>650</v>
      </c>
      <c r="AK39" s="15">
        <f t="shared" si="18"/>
        <v>650</v>
      </c>
      <c r="AL39" s="16">
        <v>27</v>
      </c>
      <c r="AM39" s="6">
        <f t="shared" si="20"/>
        <v>0.24074074074074073</v>
      </c>
    </row>
    <row r="40" spans="4:39" ht="50.1" customHeight="1" x14ac:dyDescent="0.3">
      <c r="E40" s="5">
        <v>26</v>
      </c>
      <c r="F40" s="22">
        <f t="shared" si="19"/>
        <v>0.23148148148148145</v>
      </c>
      <c r="G40" s="29">
        <f t="shared" si="17"/>
        <v>600</v>
      </c>
      <c r="H40" s="25">
        <f t="shared" si="17"/>
        <v>600</v>
      </c>
      <c r="I40" s="25">
        <f t="shared" si="17"/>
        <v>600</v>
      </c>
      <c r="J40" s="25">
        <f t="shared" si="17"/>
        <v>600</v>
      </c>
      <c r="K40" s="25">
        <f t="shared" si="17"/>
        <v>600</v>
      </c>
      <c r="L40" s="25">
        <f t="shared" si="17"/>
        <v>600</v>
      </c>
      <c r="M40" s="25">
        <f t="shared" si="17"/>
        <v>600</v>
      </c>
      <c r="N40" s="25">
        <f t="shared" si="17"/>
        <v>600</v>
      </c>
      <c r="O40" s="25">
        <f t="shared" si="17"/>
        <v>600</v>
      </c>
      <c r="P40" s="25">
        <f t="shared" si="5"/>
        <v>600</v>
      </c>
      <c r="Q40" s="25">
        <f t="shared" si="7"/>
        <v>600</v>
      </c>
      <c r="R40" s="25">
        <f t="shared" si="9"/>
        <v>600</v>
      </c>
      <c r="S40" s="25">
        <f t="shared" si="11"/>
        <v>600</v>
      </c>
      <c r="T40" s="25">
        <f t="shared" si="15"/>
        <v>600</v>
      </c>
      <c r="U40" s="3">
        <v>610.43078383995203</v>
      </c>
      <c r="V40" s="3">
        <v>611.03391820291461</v>
      </c>
      <c r="W40" s="3">
        <v>612.65898917102288</v>
      </c>
      <c r="X40" s="25">
        <f t="shared" si="16"/>
        <v>650</v>
      </c>
      <c r="Y40" s="25">
        <f t="shared" si="12"/>
        <v>650</v>
      </c>
      <c r="Z40" s="25">
        <f t="shared" si="10"/>
        <v>650</v>
      </c>
      <c r="AA40" s="25">
        <f t="shared" si="8"/>
        <v>650</v>
      </c>
      <c r="AB40" s="25">
        <f t="shared" si="6"/>
        <v>650</v>
      </c>
      <c r="AC40" s="25">
        <f t="shared" si="18"/>
        <v>650</v>
      </c>
      <c r="AD40" s="25">
        <f t="shared" si="18"/>
        <v>650</v>
      </c>
      <c r="AE40" s="25">
        <f t="shared" si="18"/>
        <v>650</v>
      </c>
      <c r="AF40" s="25">
        <f t="shared" si="18"/>
        <v>650</v>
      </c>
      <c r="AG40" s="25">
        <f t="shared" si="18"/>
        <v>650</v>
      </c>
      <c r="AH40" s="25">
        <f t="shared" si="18"/>
        <v>650</v>
      </c>
      <c r="AI40" s="25">
        <f t="shared" si="18"/>
        <v>650</v>
      </c>
      <c r="AJ40" s="25">
        <f t="shared" si="18"/>
        <v>650</v>
      </c>
      <c r="AK40" s="15">
        <f t="shared" si="18"/>
        <v>650</v>
      </c>
      <c r="AL40" s="16">
        <v>26</v>
      </c>
      <c r="AM40" s="6">
        <f t="shared" si="20"/>
        <v>0.23148148148148145</v>
      </c>
    </row>
    <row r="41" spans="4:39" ht="50.1" customHeight="1" x14ac:dyDescent="0.3">
      <c r="E41" s="5">
        <v>25</v>
      </c>
      <c r="F41" s="22">
        <f t="shared" si="19"/>
        <v>0.22222222222222221</v>
      </c>
      <c r="G41" s="29">
        <f t="shared" ref="G41:O50" si="21">$R$2</f>
        <v>600</v>
      </c>
      <c r="H41" s="25">
        <f t="shared" si="21"/>
        <v>600</v>
      </c>
      <c r="I41" s="25">
        <f t="shared" si="21"/>
        <v>600</v>
      </c>
      <c r="J41" s="25">
        <f t="shared" si="21"/>
        <v>600</v>
      </c>
      <c r="K41" s="25">
        <f t="shared" si="21"/>
        <v>600</v>
      </c>
      <c r="L41" s="25">
        <f t="shared" si="21"/>
        <v>600</v>
      </c>
      <c r="M41" s="25">
        <f t="shared" si="21"/>
        <v>600</v>
      </c>
      <c r="N41" s="25">
        <f t="shared" si="21"/>
        <v>600</v>
      </c>
      <c r="O41" s="25">
        <f t="shared" si="21"/>
        <v>600</v>
      </c>
      <c r="P41" s="25">
        <f t="shared" si="5"/>
        <v>600</v>
      </c>
      <c r="Q41" s="25">
        <f t="shared" si="7"/>
        <v>600</v>
      </c>
      <c r="R41" s="25">
        <f t="shared" si="9"/>
        <v>600</v>
      </c>
      <c r="S41" s="25">
        <f t="shared" si="11"/>
        <v>600</v>
      </c>
      <c r="T41" s="25">
        <f t="shared" si="15"/>
        <v>600</v>
      </c>
      <c r="U41" s="3">
        <v>610.45443288556828</v>
      </c>
      <c r="V41" s="3">
        <v>611.05808218803622</v>
      </c>
      <c r="W41" s="3">
        <v>612.68296667530524</v>
      </c>
      <c r="X41" s="25">
        <f t="shared" si="16"/>
        <v>650</v>
      </c>
      <c r="Y41" s="25">
        <f t="shared" si="12"/>
        <v>650</v>
      </c>
      <c r="Z41" s="25">
        <f t="shared" si="10"/>
        <v>650</v>
      </c>
      <c r="AA41" s="25">
        <f t="shared" si="8"/>
        <v>650</v>
      </c>
      <c r="AB41" s="25">
        <f t="shared" si="6"/>
        <v>650</v>
      </c>
      <c r="AC41" s="25">
        <f t="shared" ref="AC41:AK50" si="22">$R$3</f>
        <v>650</v>
      </c>
      <c r="AD41" s="25">
        <f t="shared" si="22"/>
        <v>650</v>
      </c>
      <c r="AE41" s="25">
        <f t="shared" si="22"/>
        <v>650</v>
      </c>
      <c r="AF41" s="25">
        <f t="shared" si="22"/>
        <v>650</v>
      </c>
      <c r="AG41" s="25">
        <f t="shared" si="22"/>
        <v>650</v>
      </c>
      <c r="AH41" s="25">
        <f t="shared" si="22"/>
        <v>650</v>
      </c>
      <c r="AI41" s="25">
        <f t="shared" si="22"/>
        <v>650</v>
      </c>
      <c r="AJ41" s="25">
        <f t="shared" si="22"/>
        <v>650</v>
      </c>
      <c r="AK41" s="15">
        <f t="shared" si="22"/>
        <v>650</v>
      </c>
      <c r="AL41" s="16">
        <v>25</v>
      </c>
      <c r="AM41" s="6">
        <f t="shared" si="20"/>
        <v>0.22222222222222221</v>
      </c>
    </row>
    <row r="42" spans="4:39" ht="50.1" customHeight="1" x14ac:dyDescent="0.3">
      <c r="E42" s="5">
        <v>24</v>
      </c>
      <c r="F42" s="22">
        <f t="shared" si="19"/>
        <v>0.21296296296296297</v>
      </c>
      <c r="G42" s="29">
        <f t="shared" si="21"/>
        <v>600</v>
      </c>
      <c r="H42" s="25">
        <f t="shared" si="21"/>
        <v>600</v>
      </c>
      <c r="I42" s="25">
        <f t="shared" si="21"/>
        <v>600</v>
      </c>
      <c r="J42" s="25">
        <f t="shared" si="21"/>
        <v>600</v>
      </c>
      <c r="K42" s="25">
        <f t="shared" si="21"/>
        <v>600</v>
      </c>
      <c r="L42" s="25">
        <f t="shared" si="21"/>
        <v>600</v>
      </c>
      <c r="M42" s="25">
        <f t="shared" si="21"/>
        <v>600</v>
      </c>
      <c r="N42" s="25">
        <f t="shared" si="21"/>
        <v>600</v>
      </c>
      <c r="O42" s="25">
        <f t="shared" si="21"/>
        <v>600</v>
      </c>
      <c r="P42" s="25">
        <f t="shared" si="5"/>
        <v>600</v>
      </c>
      <c r="Q42" s="25">
        <f t="shared" si="7"/>
        <v>600</v>
      </c>
      <c r="R42" s="25">
        <f t="shared" si="9"/>
        <v>600</v>
      </c>
      <c r="S42" s="25">
        <f t="shared" si="11"/>
        <v>600</v>
      </c>
      <c r="T42" s="25">
        <f t="shared" si="15"/>
        <v>600</v>
      </c>
      <c r="U42" s="3">
        <v>610.49418468664658</v>
      </c>
      <c r="V42" s="3">
        <v>611.09869956072384</v>
      </c>
      <c r="W42" s="3">
        <v>612.72327058215524</v>
      </c>
      <c r="X42" s="25">
        <f t="shared" si="16"/>
        <v>650</v>
      </c>
      <c r="Y42" s="25">
        <f t="shared" si="12"/>
        <v>650</v>
      </c>
      <c r="Z42" s="25">
        <f t="shared" si="10"/>
        <v>650</v>
      </c>
      <c r="AA42" s="25">
        <f t="shared" si="8"/>
        <v>650</v>
      </c>
      <c r="AB42" s="25">
        <f t="shared" si="6"/>
        <v>650</v>
      </c>
      <c r="AC42" s="25">
        <f t="shared" si="22"/>
        <v>650</v>
      </c>
      <c r="AD42" s="25">
        <f t="shared" si="22"/>
        <v>650</v>
      </c>
      <c r="AE42" s="25">
        <f t="shared" si="22"/>
        <v>650</v>
      </c>
      <c r="AF42" s="25">
        <f t="shared" si="22"/>
        <v>650</v>
      </c>
      <c r="AG42" s="25">
        <f t="shared" si="22"/>
        <v>650</v>
      </c>
      <c r="AH42" s="25">
        <f t="shared" si="22"/>
        <v>650</v>
      </c>
      <c r="AI42" s="25">
        <f t="shared" si="22"/>
        <v>650</v>
      </c>
      <c r="AJ42" s="25">
        <f t="shared" si="22"/>
        <v>650</v>
      </c>
      <c r="AK42" s="15">
        <f t="shared" si="22"/>
        <v>650</v>
      </c>
      <c r="AL42" s="16">
        <v>24</v>
      </c>
      <c r="AM42" s="6">
        <f t="shared" si="20"/>
        <v>0.21296296296296297</v>
      </c>
    </row>
    <row r="43" spans="4:39" ht="50.1" customHeight="1" x14ac:dyDescent="0.3">
      <c r="D43" t="s">
        <v>29</v>
      </c>
      <c r="E43" s="5">
        <v>23</v>
      </c>
      <c r="F43" s="22">
        <f t="shared" si="19"/>
        <v>0.20370370370370369</v>
      </c>
      <c r="G43" s="29">
        <f t="shared" si="21"/>
        <v>600</v>
      </c>
      <c r="H43" s="25">
        <f t="shared" si="21"/>
        <v>600</v>
      </c>
      <c r="I43" s="25">
        <f t="shared" si="21"/>
        <v>600</v>
      </c>
      <c r="J43" s="25">
        <f t="shared" si="21"/>
        <v>600</v>
      </c>
      <c r="K43" s="25">
        <f t="shared" si="21"/>
        <v>600</v>
      </c>
      <c r="L43" s="25">
        <f t="shared" si="21"/>
        <v>600</v>
      </c>
      <c r="M43" s="25">
        <f t="shared" si="21"/>
        <v>600</v>
      </c>
      <c r="N43" s="25">
        <f t="shared" si="21"/>
        <v>600</v>
      </c>
      <c r="O43" s="25">
        <f t="shared" si="21"/>
        <v>600</v>
      </c>
      <c r="P43" s="25">
        <f t="shared" si="5"/>
        <v>600</v>
      </c>
      <c r="Q43" s="25">
        <f t="shared" si="7"/>
        <v>600</v>
      </c>
      <c r="R43" s="25">
        <f t="shared" si="9"/>
        <v>600</v>
      </c>
      <c r="S43" s="25">
        <f t="shared" si="11"/>
        <v>600</v>
      </c>
      <c r="T43" s="25">
        <f t="shared" si="15"/>
        <v>600</v>
      </c>
      <c r="U43" s="3">
        <v>610.55961201526452</v>
      </c>
      <c r="V43" s="3">
        <v>611.16555159196059</v>
      </c>
      <c r="W43" s="3">
        <v>612.78960660158657</v>
      </c>
      <c r="X43" s="25">
        <f t="shared" si="16"/>
        <v>650</v>
      </c>
      <c r="Y43" s="25">
        <f t="shared" si="12"/>
        <v>650</v>
      </c>
      <c r="Z43" s="25">
        <f t="shared" si="10"/>
        <v>650</v>
      </c>
      <c r="AA43" s="25">
        <f t="shared" si="8"/>
        <v>650</v>
      </c>
      <c r="AB43" s="25">
        <f t="shared" si="6"/>
        <v>650</v>
      </c>
      <c r="AC43" s="25">
        <f t="shared" si="22"/>
        <v>650</v>
      </c>
      <c r="AD43" s="25">
        <f t="shared" si="22"/>
        <v>650</v>
      </c>
      <c r="AE43" s="25">
        <f t="shared" si="22"/>
        <v>650</v>
      </c>
      <c r="AF43" s="25">
        <f t="shared" si="22"/>
        <v>650</v>
      </c>
      <c r="AG43" s="25">
        <f t="shared" si="22"/>
        <v>650</v>
      </c>
      <c r="AH43" s="25">
        <f t="shared" si="22"/>
        <v>650</v>
      </c>
      <c r="AI43" s="25">
        <f t="shared" si="22"/>
        <v>650</v>
      </c>
      <c r="AJ43" s="25">
        <f t="shared" si="22"/>
        <v>650</v>
      </c>
      <c r="AK43" s="15">
        <f t="shared" si="22"/>
        <v>650</v>
      </c>
      <c r="AL43" s="16">
        <v>23</v>
      </c>
      <c r="AM43" s="6">
        <f t="shared" si="20"/>
        <v>0.20370370370370369</v>
      </c>
    </row>
    <row r="44" spans="4:39" ht="50.1" customHeight="1" x14ac:dyDescent="0.3">
      <c r="E44" s="5">
        <v>22</v>
      </c>
      <c r="F44" s="22">
        <f t="shared" si="19"/>
        <v>0.19444444444444442</v>
      </c>
      <c r="G44" s="29">
        <f t="shared" si="21"/>
        <v>600</v>
      </c>
      <c r="H44" s="25">
        <f t="shared" si="21"/>
        <v>600</v>
      </c>
      <c r="I44" s="25">
        <f t="shared" si="21"/>
        <v>600</v>
      </c>
      <c r="J44" s="25">
        <f t="shared" si="21"/>
        <v>600</v>
      </c>
      <c r="K44" s="25">
        <f t="shared" si="21"/>
        <v>600</v>
      </c>
      <c r="L44" s="25">
        <f t="shared" si="21"/>
        <v>600</v>
      </c>
      <c r="M44" s="25">
        <f t="shared" si="21"/>
        <v>600</v>
      </c>
      <c r="N44" s="25">
        <f t="shared" si="21"/>
        <v>600</v>
      </c>
      <c r="O44" s="25">
        <f t="shared" si="21"/>
        <v>600</v>
      </c>
      <c r="P44" s="25">
        <f t="shared" si="5"/>
        <v>600</v>
      </c>
      <c r="Q44" s="25">
        <f t="shared" si="7"/>
        <v>600</v>
      </c>
      <c r="R44" s="25">
        <f t="shared" si="9"/>
        <v>600</v>
      </c>
      <c r="S44" s="25">
        <f t="shared" si="11"/>
        <v>600</v>
      </c>
      <c r="T44" s="25">
        <f t="shared" si="15"/>
        <v>600</v>
      </c>
      <c r="U44" s="3">
        <v>610.66641559237576</v>
      </c>
      <c r="V44" s="3">
        <v>611.27468138451638</v>
      </c>
      <c r="W44" s="3">
        <v>612.89789337244065</v>
      </c>
      <c r="X44" s="25">
        <f t="shared" si="16"/>
        <v>650</v>
      </c>
      <c r="Y44" s="25">
        <f t="shared" si="12"/>
        <v>650</v>
      </c>
      <c r="Z44" s="25">
        <f t="shared" si="10"/>
        <v>650</v>
      </c>
      <c r="AA44" s="25">
        <f t="shared" si="8"/>
        <v>650</v>
      </c>
      <c r="AB44" s="25">
        <f t="shared" si="6"/>
        <v>650</v>
      </c>
      <c r="AC44" s="25">
        <f t="shared" si="22"/>
        <v>650</v>
      </c>
      <c r="AD44" s="25">
        <f t="shared" si="22"/>
        <v>650</v>
      </c>
      <c r="AE44" s="25">
        <f t="shared" si="22"/>
        <v>650</v>
      </c>
      <c r="AF44" s="25">
        <f t="shared" si="22"/>
        <v>650</v>
      </c>
      <c r="AG44" s="25">
        <f t="shared" si="22"/>
        <v>650</v>
      </c>
      <c r="AH44" s="25">
        <f t="shared" si="22"/>
        <v>650</v>
      </c>
      <c r="AI44" s="25">
        <f t="shared" si="22"/>
        <v>650</v>
      </c>
      <c r="AJ44" s="25">
        <f t="shared" si="22"/>
        <v>650</v>
      </c>
      <c r="AK44" s="15">
        <f t="shared" si="22"/>
        <v>650</v>
      </c>
      <c r="AL44" s="16">
        <v>22</v>
      </c>
      <c r="AM44" s="6">
        <f t="shared" si="20"/>
        <v>0.19444444444444442</v>
      </c>
    </row>
    <row r="45" spans="4:39" ht="50.1" customHeight="1" x14ac:dyDescent="0.3">
      <c r="E45" s="5">
        <v>21</v>
      </c>
      <c r="F45" s="22">
        <f t="shared" si="19"/>
        <v>0.18518518518518517</v>
      </c>
      <c r="G45" s="29">
        <f t="shared" si="21"/>
        <v>600</v>
      </c>
      <c r="H45" s="25">
        <f t="shared" si="21"/>
        <v>600</v>
      </c>
      <c r="I45" s="25">
        <f t="shared" si="21"/>
        <v>600</v>
      </c>
      <c r="J45" s="25">
        <f t="shared" si="21"/>
        <v>600</v>
      </c>
      <c r="K45" s="25">
        <f t="shared" si="21"/>
        <v>600</v>
      </c>
      <c r="L45" s="25">
        <f t="shared" si="21"/>
        <v>600</v>
      </c>
      <c r="M45" s="25">
        <f t="shared" si="21"/>
        <v>600</v>
      </c>
      <c r="N45" s="25">
        <f t="shared" si="21"/>
        <v>600</v>
      </c>
      <c r="O45" s="25">
        <f t="shared" si="21"/>
        <v>600</v>
      </c>
      <c r="P45" s="25">
        <f t="shared" si="5"/>
        <v>600</v>
      </c>
      <c r="Q45" s="25">
        <f t="shared" si="7"/>
        <v>600</v>
      </c>
      <c r="R45" s="25">
        <f t="shared" si="9"/>
        <v>600</v>
      </c>
      <c r="S45" s="25">
        <f t="shared" si="11"/>
        <v>600</v>
      </c>
      <c r="T45" s="25">
        <f t="shared" si="15"/>
        <v>600</v>
      </c>
      <c r="U45" s="3">
        <v>610.8401480372039</v>
      </c>
      <c r="V45" s="3">
        <v>611.45220232923475</v>
      </c>
      <c r="W45" s="3">
        <v>613.07403714572013</v>
      </c>
      <c r="X45" s="25">
        <f t="shared" si="16"/>
        <v>650</v>
      </c>
      <c r="Y45" s="25">
        <f t="shared" si="12"/>
        <v>650</v>
      </c>
      <c r="Z45" s="25">
        <f t="shared" si="10"/>
        <v>650</v>
      </c>
      <c r="AA45" s="25">
        <f t="shared" si="8"/>
        <v>650</v>
      </c>
      <c r="AB45" s="25">
        <f t="shared" si="6"/>
        <v>650</v>
      </c>
      <c r="AC45" s="25">
        <f t="shared" si="22"/>
        <v>650</v>
      </c>
      <c r="AD45" s="25">
        <f t="shared" si="22"/>
        <v>650</v>
      </c>
      <c r="AE45" s="25">
        <f t="shared" si="22"/>
        <v>650</v>
      </c>
      <c r="AF45" s="25">
        <f t="shared" si="22"/>
        <v>650</v>
      </c>
      <c r="AG45" s="25">
        <f t="shared" si="22"/>
        <v>650</v>
      </c>
      <c r="AH45" s="25">
        <f t="shared" si="22"/>
        <v>650</v>
      </c>
      <c r="AI45" s="25">
        <f t="shared" si="22"/>
        <v>650</v>
      </c>
      <c r="AJ45" s="25">
        <f t="shared" si="22"/>
        <v>650</v>
      </c>
      <c r="AK45" s="15">
        <f t="shared" si="22"/>
        <v>650</v>
      </c>
      <c r="AL45" s="16">
        <v>21</v>
      </c>
      <c r="AM45" s="6">
        <f t="shared" si="20"/>
        <v>0.18518518518518517</v>
      </c>
    </row>
    <row r="46" spans="4:39" ht="50.1" customHeight="1" x14ac:dyDescent="0.3">
      <c r="E46" s="5">
        <v>20</v>
      </c>
      <c r="F46" s="22">
        <f t="shared" si="19"/>
        <v>0.17592592592592593</v>
      </c>
      <c r="G46" s="29">
        <f t="shared" si="21"/>
        <v>600</v>
      </c>
      <c r="H46" s="25">
        <f t="shared" si="21"/>
        <v>600</v>
      </c>
      <c r="I46" s="25">
        <f t="shared" si="21"/>
        <v>600</v>
      </c>
      <c r="J46" s="25">
        <f t="shared" si="21"/>
        <v>600</v>
      </c>
      <c r="K46" s="25">
        <f t="shared" si="21"/>
        <v>600</v>
      </c>
      <c r="L46" s="25">
        <f t="shared" si="21"/>
        <v>600</v>
      </c>
      <c r="M46" s="25">
        <f t="shared" si="21"/>
        <v>600</v>
      </c>
      <c r="N46" s="25">
        <f t="shared" si="21"/>
        <v>600</v>
      </c>
      <c r="O46" s="25">
        <f t="shared" si="21"/>
        <v>600</v>
      </c>
      <c r="P46" s="25">
        <f t="shared" si="5"/>
        <v>600</v>
      </c>
      <c r="Q46" s="25">
        <f t="shared" si="7"/>
        <v>600</v>
      </c>
      <c r="R46" s="25">
        <f t="shared" si="9"/>
        <v>600</v>
      </c>
      <c r="S46" s="25">
        <f t="shared" si="11"/>
        <v>600</v>
      </c>
      <c r="T46" s="25">
        <f t="shared" si="15"/>
        <v>600</v>
      </c>
      <c r="U46" s="3">
        <v>611.12223918496773</v>
      </c>
      <c r="V46" s="3">
        <v>611.74048393870157</v>
      </c>
      <c r="W46" s="3">
        <v>613.36003232316682</v>
      </c>
      <c r="X46" s="25">
        <f t="shared" si="16"/>
        <v>650</v>
      </c>
      <c r="Y46" s="25">
        <f t="shared" si="12"/>
        <v>650</v>
      </c>
      <c r="Z46" s="25">
        <f t="shared" si="10"/>
        <v>650</v>
      </c>
      <c r="AA46" s="25">
        <f t="shared" si="8"/>
        <v>650</v>
      </c>
      <c r="AB46" s="25">
        <f t="shared" si="6"/>
        <v>650</v>
      </c>
      <c r="AC46" s="25">
        <f t="shared" si="22"/>
        <v>650</v>
      </c>
      <c r="AD46" s="25">
        <f t="shared" si="22"/>
        <v>650</v>
      </c>
      <c r="AE46" s="25">
        <f t="shared" si="22"/>
        <v>650</v>
      </c>
      <c r="AF46" s="25">
        <f t="shared" si="22"/>
        <v>650</v>
      </c>
      <c r="AG46" s="25">
        <f t="shared" si="22"/>
        <v>650</v>
      </c>
      <c r="AH46" s="25">
        <f t="shared" si="22"/>
        <v>650</v>
      </c>
      <c r="AI46" s="25">
        <f t="shared" si="22"/>
        <v>650</v>
      </c>
      <c r="AJ46" s="25">
        <f t="shared" si="22"/>
        <v>650</v>
      </c>
      <c r="AK46" s="15">
        <f t="shared" si="22"/>
        <v>650</v>
      </c>
      <c r="AL46" s="16">
        <v>20</v>
      </c>
      <c r="AM46" s="6">
        <f t="shared" si="20"/>
        <v>0.17592592592592593</v>
      </c>
    </row>
    <row r="47" spans="4:39" ht="50.1" customHeight="1" x14ac:dyDescent="0.3">
      <c r="E47" s="5">
        <v>19</v>
      </c>
      <c r="F47" s="22">
        <f t="shared" si="19"/>
        <v>0.16666666666666666</v>
      </c>
      <c r="G47" s="29">
        <f t="shared" si="21"/>
        <v>600</v>
      </c>
      <c r="H47" s="25">
        <f t="shared" si="21"/>
        <v>600</v>
      </c>
      <c r="I47" s="25">
        <f t="shared" si="21"/>
        <v>600</v>
      </c>
      <c r="J47" s="25">
        <f t="shared" si="21"/>
        <v>600</v>
      </c>
      <c r="K47" s="25">
        <f t="shared" si="21"/>
        <v>600</v>
      </c>
      <c r="L47" s="25">
        <f t="shared" si="21"/>
        <v>600</v>
      </c>
      <c r="M47" s="25">
        <f t="shared" si="21"/>
        <v>600</v>
      </c>
      <c r="N47" s="25">
        <f t="shared" si="21"/>
        <v>600</v>
      </c>
      <c r="O47" s="25">
        <f t="shared" si="21"/>
        <v>600</v>
      </c>
      <c r="P47" s="25">
        <f t="shared" si="5"/>
        <v>600</v>
      </c>
      <c r="Q47" s="25">
        <f t="shared" si="7"/>
        <v>600</v>
      </c>
      <c r="R47" s="25">
        <f t="shared" si="9"/>
        <v>600</v>
      </c>
      <c r="S47" s="25">
        <f t="shared" si="11"/>
        <v>600</v>
      </c>
      <c r="T47" s="25">
        <f t="shared" si="15"/>
        <v>600</v>
      </c>
      <c r="U47" s="3">
        <v>611.57955420050041</v>
      </c>
      <c r="V47" s="3">
        <v>612.20816936658889</v>
      </c>
      <c r="W47" s="3">
        <v>613.82357978022367</v>
      </c>
      <c r="X47" s="25">
        <f t="shared" si="16"/>
        <v>650</v>
      </c>
      <c r="Y47" s="25">
        <f t="shared" si="12"/>
        <v>650</v>
      </c>
      <c r="Z47" s="25">
        <f t="shared" si="10"/>
        <v>650</v>
      </c>
      <c r="AA47" s="25">
        <f t="shared" si="8"/>
        <v>650</v>
      </c>
      <c r="AB47" s="25">
        <f t="shared" si="6"/>
        <v>650</v>
      </c>
      <c r="AC47" s="25">
        <f t="shared" si="22"/>
        <v>650</v>
      </c>
      <c r="AD47" s="25">
        <f t="shared" si="22"/>
        <v>650</v>
      </c>
      <c r="AE47" s="25">
        <f t="shared" si="22"/>
        <v>650</v>
      </c>
      <c r="AF47" s="25">
        <f t="shared" si="22"/>
        <v>650</v>
      </c>
      <c r="AG47" s="25">
        <f t="shared" si="22"/>
        <v>650</v>
      </c>
      <c r="AH47" s="25">
        <f t="shared" si="22"/>
        <v>650</v>
      </c>
      <c r="AI47" s="25">
        <f t="shared" si="22"/>
        <v>650</v>
      </c>
      <c r="AJ47" s="25">
        <f t="shared" si="22"/>
        <v>650</v>
      </c>
      <c r="AK47" s="15">
        <f t="shared" si="22"/>
        <v>650</v>
      </c>
      <c r="AL47" s="16">
        <v>19</v>
      </c>
      <c r="AM47" s="6">
        <f t="shared" si="20"/>
        <v>0.16666666666666666</v>
      </c>
    </row>
    <row r="48" spans="4:39" ht="50.1" customHeight="1" x14ac:dyDescent="0.3">
      <c r="E48" s="5">
        <v>18</v>
      </c>
      <c r="F48" s="22">
        <f t="shared" si="19"/>
        <v>0.15740740740740738</v>
      </c>
      <c r="G48" s="29">
        <f t="shared" si="21"/>
        <v>600</v>
      </c>
      <c r="H48" s="25">
        <f t="shared" si="21"/>
        <v>600</v>
      </c>
      <c r="I48" s="25">
        <f t="shared" si="21"/>
        <v>600</v>
      </c>
      <c r="J48" s="25">
        <f t="shared" si="21"/>
        <v>600</v>
      </c>
      <c r="K48" s="25">
        <f t="shared" si="21"/>
        <v>600</v>
      </c>
      <c r="L48" s="25">
        <f t="shared" si="21"/>
        <v>600</v>
      </c>
      <c r="M48" s="25">
        <f t="shared" si="21"/>
        <v>600</v>
      </c>
      <c r="N48" s="25">
        <f t="shared" si="21"/>
        <v>600</v>
      </c>
      <c r="O48" s="25">
        <f t="shared" si="21"/>
        <v>600</v>
      </c>
      <c r="P48" s="25">
        <f t="shared" si="5"/>
        <v>600</v>
      </c>
      <c r="Q48" s="25">
        <f t="shared" si="7"/>
        <v>600</v>
      </c>
      <c r="R48" s="25">
        <f t="shared" si="9"/>
        <v>600</v>
      </c>
      <c r="S48" s="25">
        <f t="shared" si="11"/>
        <v>600</v>
      </c>
      <c r="T48" s="25">
        <f t="shared" si="15"/>
        <v>600</v>
      </c>
      <c r="U48" s="3">
        <v>612.31814151790377</v>
      </c>
      <c r="V48" s="3">
        <v>612.96637635747118</v>
      </c>
      <c r="W48" s="3">
        <v>614.57140402138418</v>
      </c>
      <c r="X48" s="25">
        <f t="shared" si="16"/>
        <v>650</v>
      </c>
      <c r="Y48" s="25">
        <f t="shared" si="12"/>
        <v>650</v>
      </c>
      <c r="Z48" s="25">
        <f t="shared" si="10"/>
        <v>650</v>
      </c>
      <c r="AA48" s="25">
        <f t="shared" si="8"/>
        <v>650</v>
      </c>
      <c r="AB48" s="25">
        <f t="shared" si="6"/>
        <v>650</v>
      </c>
      <c r="AC48" s="25">
        <f t="shared" si="22"/>
        <v>650</v>
      </c>
      <c r="AD48" s="25">
        <f t="shared" si="22"/>
        <v>650</v>
      </c>
      <c r="AE48" s="25">
        <f t="shared" si="22"/>
        <v>650</v>
      </c>
      <c r="AF48" s="25">
        <f t="shared" si="22"/>
        <v>650</v>
      </c>
      <c r="AG48" s="25">
        <f t="shared" si="22"/>
        <v>650</v>
      </c>
      <c r="AH48" s="25">
        <f t="shared" si="22"/>
        <v>650</v>
      </c>
      <c r="AI48" s="25">
        <f t="shared" si="22"/>
        <v>650</v>
      </c>
      <c r="AJ48" s="25">
        <f t="shared" si="22"/>
        <v>650</v>
      </c>
      <c r="AK48" s="15">
        <f t="shared" si="22"/>
        <v>650</v>
      </c>
      <c r="AL48" s="16">
        <v>18</v>
      </c>
      <c r="AM48" s="6">
        <f t="shared" si="20"/>
        <v>0.15740740740740738</v>
      </c>
    </row>
    <row r="49" spans="5:39" ht="50.1" customHeight="1" x14ac:dyDescent="0.3">
      <c r="E49" s="5">
        <v>17</v>
      </c>
      <c r="F49" s="22">
        <f t="shared" si="19"/>
        <v>0.14814814814814814</v>
      </c>
      <c r="G49" s="29">
        <f t="shared" si="21"/>
        <v>600</v>
      </c>
      <c r="H49" s="25">
        <f t="shared" si="21"/>
        <v>600</v>
      </c>
      <c r="I49" s="25">
        <f t="shared" si="21"/>
        <v>600</v>
      </c>
      <c r="J49" s="25">
        <f t="shared" si="21"/>
        <v>600</v>
      </c>
      <c r="K49" s="25">
        <f t="shared" si="21"/>
        <v>600</v>
      </c>
      <c r="L49" s="25">
        <f t="shared" si="21"/>
        <v>600</v>
      </c>
      <c r="M49" s="25">
        <f t="shared" si="21"/>
        <v>600</v>
      </c>
      <c r="N49" s="25">
        <f t="shared" si="21"/>
        <v>600</v>
      </c>
      <c r="O49" s="25">
        <f t="shared" si="21"/>
        <v>600</v>
      </c>
      <c r="P49" s="25">
        <f t="shared" si="5"/>
        <v>600</v>
      </c>
      <c r="Q49" s="25">
        <f t="shared" si="7"/>
        <v>600</v>
      </c>
      <c r="R49" s="25">
        <f t="shared" si="9"/>
        <v>600</v>
      </c>
      <c r="S49" s="25">
        <f t="shared" si="11"/>
        <v>600</v>
      </c>
      <c r="T49" s="25">
        <f t="shared" si="15"/>
        <v>600</v>
      </c>
      <c r="U49" s="3">
        <v>613.49079282607056</v>
      </c>
      <c r="V49" s="3">
        <v>614.19487992745121</v>
      </c>
      <c r="W49" s="3">
        <v>615.75158960643842</v>
      </c>
      <c r="X49" s="25">
        <f t="shared" si="16"/>
        <v>650</v>
      </c>
      <c r="Y49" s="25">
        <f t="shared" si="12"/>
        <v>650</v>
      </c>
      <c r="Z49" s="25">
        <f t="shared" si="10"/>
        <v>650</v>
      </c>
      <c r="AA49" s="25">
        <f t="shared" si="8"/>
        <v>650</v>
      </c>
      <c r="AB49" s="25">
        <f t="shared" si="6"/>
        <v>650</v>
      </c>
      <c r="AC49" s="25">
        <f t="shared" si="22"/>
        <v>650</v>
      </c>
      <c r="AD49" s="25">
        <f t="shared" si="22"/>
        <v>650</v>
      </c>
      <c r="AE49" s="25">
        <f t="shared" si="22"/>
        <v>650</v>
      </c>
      <c r="AF49" s="25">
        <f t="shared" si="22"/>
        <v>650</v>
      </c>
      <c r="AG49" s="25">
        <f t="shared" si="22"/>
        <v>650</v>
      </c>
      <c r="AH49" s="25">
        <f t="shared" si="22"/>
        <v>650</v>
      </c>
      <c r="AI49" s="25">
        <f t="shared" si="22"/>
        <v>650</v>
      </c>
      <c r="AJ49" s="25">
        <f t="shared" si="22"/>
        <v>650</v>
      </c>
      <c r="AK49" s="15">
        <f t="shared" si="22"/>
        <v>650</v>
      </c>
      <c r="AL49" s="16">
        <v>17</v>
      </c>
      <c r="AM49" s="6">
        <f t="shared" si="20"/>
        <v>0.14814814814814814</v>
      </c>
    </row>
    <row r="50" spans="5:39" ht="50.1" customHeight="1" x14ac:dyDescent="0.3">
      <c r="E50" s="5">
        <v>16</v>
      </c>
      <c r="F50" s="22">
        <f t="shared" si="19"/>
        <v>0.1388888888888889</v>
      </c>
      <c r="G50" s="29">
        <f t="shared" si="21"/>
        <v>600</v>
      </c>
      <c r="H50" s="25">
        <f t="shared" si="21"/>
        <v>600</v>
      </c>
      <c r="I50" s="25">
        <f t="shared" si="21"/>
        <v>600</v>
      </c>
      <c r="J50" s="25">
        <f t="shared" si="21"/>
        <v>600</v>
      </c>
      <c r="K50" s="25">
        <f t="shared" si="21"/>
        <v>600</v>
      </c>
      <c r="L50" s="25">
        <f t="shared" si="21"/>
        <v>600</v>
      </c>
      <c r="M50" s="25">
        <f t="shared" si="21"/>
        <v>600</v>
      </c>
      <c r="N50" s="25">
        <f t="shared" si="21"/>
        <v>600</v>
      </c>
      <c r="O50" s="25">
        <f t="shared" si="21"/>
        <v>600</v>
      </c>
      <c r="P50" s="25">
        <f t="shared" si="5"/>
        <v>600</v>
      </c>
      <c r="Q50" s="25">
        <f t="shared" si="7"/>
        <v>600</v>
      </c>
      <c r="R50" s="25">
        <f t="shared" si="9"/>
        <v>600</v>
      </c>
      <c r="S50" s="25">
        <f t="shared" si="11"/>
        <v>600</v>
      </c>
      <c r="T50" s="3">
        <v>614.43812827040699</v>
      </c>
      <c r="U50" s="3">
        <v>615.1775594534671</v>
      </c>
      <c r="V50" s="3">
        <v>616.17825710397585</v>
      </c>
      <c r="W50" s="3">
        <v>617.38677229837094</v>
      </c>
      <c r="X50" s="3">
        <v>621.34187773556835</v>
      </c>
      <c r="Y50" s="25">
        <f t="shared" si="12"/>
        <v>650</v>
      </c>
      <c r="Z50" s="25">
        <f t="shared" si="10"/>
        <v>650</v>
      </c>
      <c r="AA50" s="25">
        <f t="shared" si="8"/>
        <v>650</v>
      </c>
      <c r="AB50" s="25">
        <f t="shared" si="6"/>
        <v>650</v>
      </c>
      <c r="AC50" s="25">
        <f t="shared" si="22"/>
        <v>650</v>
      </c>
      <c r="AD50" s="25">
        <f t="shared" si="22"/>
        <v>650</v>
      </c>
      <c r="AE50" s="25">
        <f t="shared" si="22"/>
        <v>650</v>
      </c>
      <c r="AF50" s="25">
        <f t="shared" si="22"/>
        <v>650</v>
      </c>
      <c r="AG50" s="25">
        <f t="shared" si="22"/>
        <v>650</v>
      </c>
      <c r="AH50" s="25">
        <f t="shared" si="22"/>
        <v>650</v>
      </c>
      <c r="AI50" s="25">
        <f t="shared" si="22"/>
        <v>650</v>
      </c>
      <c r="AJ50" s="25">
        <f t="shared" si="22"/>
        <v>650</v>
      </c>
      <c r="AK50" s="15">
        <f t="shared" si="22"/>
        <v>650</v>
      </c>
      <c r="AL50" s="16">
        <v>16</v>
      </c>
      <c r="AM50" s="6">
        <f t="shared" si="20"/>
        <v>0.1388888888888889</v>
      </c>
    </row>
    <row r="51" spans="5:39" ht="50.1" customHeight="1" x14ac:dyDescent="0.3">
      <c r="E51" s="5">
        <v>15</v>
      </c>
      <c r="F51" s="22">
        <f t="shared" si="19"/>
        <v>0.12962962962962962</v>
      </c>
      <c r="G51" s="29">
        <f t="shared" ref="G51:O58" si="23">$R$2</f>
        <v>600</v>
      </c>
      <c r="H51" s="25">
        <f t="shared" si="23"/>
        <v>600</v>
      </c>
      <c r="I51" s="25">
        <f t="shared" si="23"/>
        <v>600</v>
      </c>
      <c r="J51" s="25">
        <f t="shared" si="23"/>
        <v>600</v>
      </c>
      <c r="K51" s="25">
        <f t="shared" si="23"/>
        <v>600</v>
      </c>
      <c r="L51" s="25">
        <f t="shared" si="23"/>
        <v>600</v>
      </c>
      <c r="M51" s="25">
        <f t="shared" si="23"/>
        <v>600</v>
      </c>
      <c r="N51" s="25">
        <f t="shared" si="23"/>
        <v>600</v>
      </c>
      <c r="O51" s="25">
        <f t="shared" si="23"/>
        <v>600</v>
      </c>
      <c r="P51" s="25">
        <f t="shared" si="5"/>
        <v>600</v>
      </c>
      <c r="Q51" s="25">
        <f t="shared" si="7"/>
        <v>600</v>
      </c>
      <c r="R51" s="25">
        <f t="shared" si="9"/>
        <v>600</v>
      </c>
      <c r="S51" s="25">
        <f t="shared" si="11"/>
        <v>600</v>
      </c>
      <c r="T51" s="3">
        <v>615.21879759522324</v>
      </c>
      <c r="U51" s="3">
        <v>616.17009117551606</v>
      </c>
      <c r="V51" s="3">
        <v>617.22154378060293</v>
      </c>
      <c r="W51" s="3">
        <v>618.37188150637337</v>
      </c>
      <c r="X51" s="3">
        <v>619.91337662273281</v>
      </c>
      <c r="Y51" s="25">
        <f t="shared" si="12"/>
        <v>650</v>
      </c>
      <c r="Z51" s="25">
        <f t="shared" si="10"/>
        <v>650</v>
      </c>
      <c r="AA51" s="25">
        <f t="shared" si="8"/>
        <v>650</v>
      </c>
      <c r="AB51" s="25">
        <f t="shared" si="6"/>
        <v>650</v>
      </c>
      <c r="AC51" s="25">
        <f t="shared" ref="AC51:AK58" si="24">$R$3</f>
        <v>650</v>
      </c>
      <c r="AD51" s="25">
        <f t="shared" si="24"/>
        <v>650</v>
      </c>
      <c r="AE51" s="25">
        <f t="shared" si="24"/>
        <v>650</v>
      </c>
      <c r="AF51" s="25">
        <f t="shared" si="24"/>
        <v>650</v>
      </c>
      <c r="AG51" s="25">
        <f t="shared" si="24"/>
        <v>650</v>
      </c>
      <c r="AH51" s="25">
        <f t="shared" si="24"/>
        <v>650</v>
      </c>
      <c r="AI51" s="25">
        <f t="shared" si="24"/>
        <v>650</v>
      </c>
      <c r="AJ51" s="25">
        <f t="shared" si="24"/>
        <v>650</v>
      </c>
      <c r="AK51" s="15">
        <f t="shared" si="24"/>
        <v>650</v>
      </c>
      <c r="AL51" s="16">
        <v>15</v>
      </c>
      <c r="AM51" s="6">
        <f t="shared" si="20"/>
        <v>0.12962962962962962</v>
      </c>
    </row>
    <row r="52" spans="5:39" ht="50.1" customHeight="1" x14ac:dyDescent="0.3">
      <c r="E52" s="5">
        <v>14</v>
      </c>
      <c r="F52" s="22">
        <f t="shared" si="19"/>
        <v>0.12037037037037036</v>
      </c>
      <c r="G52" s="29">
        <f t="shared" si="23"/>
        <v>600</v>
      </c>
      <c r="H52" s="25">
        <f t="shared" si="23"/>
        <v>600</v>
      </c>
      <c r="I52" s="25">
        <f t="shared" si="23"/>
        <v>600</v>
      </c>
      <c r="J52" s="25">
        <f t="shared" si="23"/>
        <v>600</v>
      </c>
      <c r="K52" s="25">
        <f t="shared" si="23"/>
        <v>600</v>
      </c>
      <c r="L52" s="25">
        <f t="shared" si="23"/>
        <v>600</v>
      </c>
      <c r="M52" s="25">
        <f t="shared" si="23"/>
        <v>600</v>
      </c>
      <c r="N52" s="25">
        <f t="shared" si="23"/>
        <v>600</v>
      </c>
      <c r="O52" s="25">
        <f t="shared" si="23"/>
        <v>600</v>
      </c>
      <c r="P52" s="25">
        <f t="shared" si="5"/>
        <v>600</v>
      </c>
      <c r="Q52" s="25">
        <f t="shared" si="7"/>
        <v>600</v>
      </c>
      <c r="R52" s="25">
        <f t="shared" si="9"/>
        <v>600</v>
      </c>
      <c r="S52" s="25">
        <f t="shared" si="11"/>
        <v>600</v>
      </c>
      <c r="T52" s="3">
        <v>615.62281720854537</v>
      </c>
      <c r="U52" s="3">
        <v>616.60739129422825</v>
      </c>
      <c r="V52" s="3">
        <v>617.66480246871868</v>
      </c>
      <c r="W52" s="3">
        <v>618.79773223397979</v>
      </c>
      <c r="X52" s="3">
        <v>620.04192849743822</v>
      </c>
      <c r="Y52" s="25">
        <f t="shared" si="12"/>
        <v>650</v>
      </c>
      <c r="Z52" s="25">
        <f t="shared" si="10"/>
        <v>650</v>
      </c>
      <c r="AA52" s="25">
        <f t="shared" si="8"/>
        <v>650</v>
      </c>
      <c r="AB52" s="25">
        <f t="shared" si="6"/>
        <v>650</v>
      </c>
      <c r="AC52" s="25">
        <f t="shared" si="24"/>
        <v>650</v>
      </c>
      <c r="AD52" s="25">
        <f t="shared" si="24"/>
        <v>650</v>
      </c>
      <c r="AE52" s="25">
        <f t="shared" si="24"/>
        <v>650</v>
      </c>
      <c r="AF52" s="25">
        <f t="shared" si="24"/>
        <v>650</v>
      </c>
      <c r="AG52" s="25">
        <f t="shared" si="24"/>
        <v>650</v>
      </c>
      <c r="AH52" s="25">
        <f t="shared" si="24"/>
        <v>650</v>
      </c>
      <c r="AI52" s="25">
        <f t="shared" si="24"/>
        <v>650</v>
      </c>
      <c r="AJ52" s="25">
        <f t="shared" si="24"/>
        <v>650</v>
      </c>
      <c r="AK52" s="15">
        <f t="shared" si="24"/>
        <v>650</v>
      </c>
      <c r="AL52" s="16">
        <v>14</v>
      </c>
      <c r="AM52" s="6">
        <f t="shared" si="20"/>
        <v>0.12037037037037036</v>
      </c>
    </row>
    <row r="53" spans="5:39" ht="50.1" customHeight="1" x14ac:dyDescent="0.3">
      <c r="E53" s="5">
        <v>13</v>
      </c>
      <c r="F53" s="22">
        <f t="shared" si="19"/>
        <v>0.1111111111111111</v>
      </c>
      <c r="G53" s="29">
        <f t="shared" si="23"/>
        <v>600</v>
      </c>
      <c r="H53" s="25">
        <f t="shared" si="23"/>
        <v>600</v>
      </c>
      <c r="I53" s="25">
        <f t="shared" si="23"/>
        <v>600</v>
      </c>
      <c r="J53" s="25">
        <f t="shared" si="23"/>
        <v>600</v>
      </c>
      <c r="K53" s="25">
        <f t="shared" si="23"/>
        <v>600</v>
      </c>
      <c r="L53" s="25">
        <f t="shared" si="23"/>
        <v>600</v>
      </c>
      <c r="M53" s="25">
        <f t="shared" si="23"/>
        <v>600</v>
      </c>
      <c r="N53" s="25">
        <f t="shared" si="23"/>
        <v>600</v>
      </c>
      <c r="O53" s="25">
        <f t="shared" si="23"/>
        <v>600</v>
      </c>
      <c r="P53" s="25">
        <f t="shared" si="5"/>
        <v>600</v>
      </c>
      <c r="Q53" s="25">
        <f t="shared" si="7"/>
        <v>600</v>
      </c>
      <c r="R53" s="25">
        <f t="shared" si="9"/>
        <v>600</v>
      </c>
      <c r="S53" s="3">
        <v>613.60135996912345</v>
      </c>
      <c r="T53" s="3">
        <v>615.59583617366468</v>
      </c>
      <c r="U53" s="3">
        <v>616.57185286204538</v>
      </c>
      <c r="V53" s="3">
        <v>617.60835263282513</v>
      </c>
      <c r="W53" s="3">
        <v>618.70561766765172</v>
      </c>
      <c r="X53" s="3">
        <v>619.86627489181785</v>
      </c>
      <c r="Y53" s="3">
        <v>619.51784801958775</v>
      </c>
      <c r="Z53" s="25">
        <f t="shared" si="10"/>
        <v>650</v>
      </c>
      <c r="AA53" s="25">
        <f t="shared" si="8"/>
        <v>650</v>
      </c>
      <c r="AB53" s="25">
        <f t="shared" si="6"/>
        <v>650</v>
      </c>
      <c r="AC53" s="25">
        <f t="shared" si="24"/>
        <v>650</v>
      </c>
      <c r="AD53" s="25">
        <f t="shared" si="24"/>
        <v>650</v>
      </c>
      <c r="AE53" s="25">
        <f t="shared" si="24"/>
        <v>650</v>
      </c>
      <c r="AF53" s="25">
        <f t="shared" si="24"/>
        <v>650</v>
      </c>
      <c r="AG53" s="25">
        <f t="shared" si="24"/>
        <v>650</v>
      </c>
      <c r="AH53" s="25">
        <f t="shared" si="24"/>
        <v>650</v>
      </c>
      <c r="AI53" s="25">
        <f t="shared" si="24"/>
        <v>650</v>
      </c>
      <c r="AJ53" s="25">
        <f t="shared" si="24"/>
        <v>650</v>
      </c>
      <c r="AK53" s="15">
        <f t="shared" si="24"/>
        <v>650</v>
      </c>
      <c r="AL53" s="16">
        <v>13</v>
      </c>
      <c r="AM53" s="6">
        <f t="shared" si="20"/>
        <v>0.1111111111111111</v>
      </c>
    </row>
    <row r="54" spans="5:39" ht="50.1" customHeight="1" x14ac:dyDescent="0.3">
      <c r="E54" s="5">
        <v>12</v>
      </c>
      <c r="F54" s="22">
        <f t="shared" si="19"/>
        <v>0.10185185185185185</v>
      </c>
      <c r="G54" s="29">
        <f t="shared" si="23"/>
        <v>600</v>
      </c>
      <c r="H54" s="25">
        <f t="shared" si="23"/>
        <v>600</v>
      </c>
      <c r="I54" s="25">
        <f t="shared" si="23"/>
        <v>600</v>
      </c>
      <c r="J54" s="25">
        <f t="shared" si="23"/>
        <v>600</v>
      </c>
      <c r="K54" s="25">
        <f t="shared" si="23"/>
        <v>600</v>
      </c>
      <c r="L54" s="25">
        <f t="shared" si="23"/>
        <v>600</v>
      </c>
      <c r="M54" s="25">
        <f t="shared" si="23"/>
        <v>600</v>
      </c>
      <c r="N54" s="25">
        <f t="shared" si="23"/>
        <v>600</v>
      </c>
      <c r="O54" s="25">
        <f t="shared" si="23"/>
        <v>600</v>
      </c>
      <c r="P54" s="25">
        <f t="shared" si="5"/>
        <v>600</v>
      </c>
      <c r="Q54" s="25">
        <f t="shared" si="7"/>
        <v>600</v>
      </c>
      <c r="R54" s="25">
        <f t="shared" si="9"/>
        <v>600</v>
      </c>
      <c r="S54" s="3">
        <v>614.22099852134727</v>
      </c>
      <c r="T54" s="3">
        <v>615.24815083919066</v>
      </c>
      <c r="U54" s="3">
        <v>616.2075469131513</v>
      </c>
      <c r="V54" s="3">
        <v>617.22570808045884</v>
      </c>
      <c r="W54" s="3">
        <v>618.30318423412109</v>
      </c>
      <c r="X54" s="3">
        <v>619.44085714402206</v>
      </c>
      <c r="Y54" s="3">
        <v>620.45597082759423</v>
      </c>
      <c r="Z54" s="25">
        <f t="shared" si="10"/>
        <v>650</v>
      </c>
      <c r="AA54" s="25">
        <f t="shared" si="8"/>
        <v>650</v>
      </c>
      <c r="AB54" s="25">
        <f t="shared" si="6"/>
        <v>650</v>
      </c>
      <c r="AC54" s="25">
        <f t="shared" si="24"/>
        <v>650</v>
      </c>
      <c r="AD54" s="25">
        <f t="shared" si="24"/>
        <v>650</v>
      </c>
      <c r="AE54" s="25">
        <f t="shared" si="24"/>
        <v>650</v>
      </c>
      <c r="AF54" s="25">
        <f t="shared" si="24"/>
        <v>650</v>
      </c>
      <c r="AG54" s="25">
        <f t="shared" si="24"/>
        <v>650</v>
      </c>
      <c r="AH54" s="25">
        <f t="shared" si="24"/>
        <v>650</v>
      </c>
      <c r="AI54" s="25">
        <f t="shared" si="24"/>
        <v>650</v>
      </c>
      <c r="AJ54" s="25">
        <f t="shared" si="24"/>
        <v>650</v>
      </c>
      <c r="AK54" s="15">
        <f t="shared" si="24"/>
        <v>650</v>
      </c>
      <c r="AL54" s="16">
        <v>12</v>
      </c>
      <c r="AM54" s="6">
        <f t="shared" si="20"/>
        <v>0.10185185185185185</v>
      </c>
    </row>
    <row r="55" spans="5:39" ht="50.1" customHeight="1" x14ac:dyDescent="0.3">
      <c r="E55" s="5">
        <v>11</v>
      </c>
      <c r="F55" s="22">
        <f t="shared" si="19"/>
        <v>9.2592592592592587E-2</v>
      </c>
      <c r="G55" s="29">
        <f t="shared" si="23"/>
        <v>600</v>
      </c>
      <c r="H55" s="25">
        <f t="shared" si="23"/>
        <v>600</v>
      </c>
      <c r="I55" s="25">
        <f t="shared" si="23"/>
        <v>600</v>
      </c>
      <c r="J55" s="25">
        <f t="shared" si="23"/>
        <v>600</v>
      </c>
      <c r="K55" s="25">
        <f t="shared" si="23"/>
        <v>600</v>
      </c>
      <c r="L55" s="25">
        <f t="shared" si="23"/>
        <v>600</v>
      </c>
      <c r="M55" s="25">
        <f t="shared" si="23"/>
        <v>600</v>
      </c>
      <c r="N55" s="25">
        <f t="shared" si="23"/>
        <v>600</v>
      </c>
      <c r="O55" s="25">
        <f t="shared" si="23"/>
        <v>600</v>
      </c>
      <c r="P55" s="25">
        <f t="shared" si="5"/>
        <v>600</v>
      </c>
      <c r="Q55" s="25">
        <f t="shared" si="7"/>
        <v>600</v>
      </c>
      <c r="R55" s="3">
        <v>611.45537206860422</v>
      </c>
      <c r="S55" s="3">
        <v>613.68383586567984</v>
      </c>
      <c r="T55" s="3">
        <v>614.58346979818668</v>
      </c>
      <c r="U55" s="3">
        <v>615.5235210969463</v>
      </c>
      <c r="V55" s="3">
        <v>616.51872749574068</v>
      </c>
      <c r="W55" s="3">
        <v>617.5680558280003</v>
      </c>
      <c r="X55" s="3">
        <v>618.66931960716511</v>
      </c>
      <c r="Y55" s="3">
        <v>619.79731050765213</v>
      </c>
      <c r="Z55" s="3">
        <v>621.81911400077661</v>
      </c>
      <c r="AA55" s="25">
        <f t="shared" si="8"/>
        <v>650</v>
      </c>
      <c r="AB55" s="25">
        <f t="shared" si="6"/>
        <v>650</v>
      </c>
      <c r="AC55" s="25">
        <f t="shared" si="24"/>
        <v>650</v>
      </c>
      <c r="AD55" s="25">
        <f t="shared" si="24"/>
        <v>650</v>
      </c>
      <c r="AE55" s="25">
        <f t="shared" si="24"/>
        <v>650</v>
      </c>
      <c r="AF55" s="25">
        <f t="shared" si="24"/>
        <v>650</v>
      </c>
      <c r="AG55" s="25">
        <f t="shared" si="24"/>
        <v>650</v>
      </c>
      <c r="AH55" s="25">
        <f t="shared" si="24"/>
        <v>650</v>
      </c>
      <c r="AI55" s="25">
        <f t="shared" si="24"/>
        <v>650</v>
      </c>
      <c r="AJ55" s="25">
        <f t="shared" si="24"/>
        <v>650</v>
      </c>
      <c r="AK55" s="15">
        <f t="shared" si="24"/>
        <v>650</v>
      </c>
      <c r="AL55" s="16">
        <v>11</v>
      </c>
      <c r="AM55" s="6">
        <f t="shared" si="20"/>
        <v>9.2592592592592587E-2</v>
      </c>
    </row>
    <row r="56" spans="5:39" ht="50.1" customHeight="1" x14ac:dyDescent="0.3">
      <c r="E56" s="5">
        <v>10</v>
      </c>
      <c r="F56" s="22">
        <f t="shared" si="19"/>
        <v>8.3333333333333329E-2</v>
      </c>
      <c r="G56" s="29">
        <f t="shared" si="23"/>
        <v>600</v>
      </c>
      <c r="H56" s="25">
        <f t="shared" si="23"/>
        <v>600</v>
      </c>
      <c r="I56" s="25">
        <f t="shared" si="23"/>
        <v>600</v>
      </c>
      <c r="J56" s="25">
        <f t="shared" si="23"/>
        <v>600</v>
      </c>
      <c r="K56" s="25">
        <f t="shared" si="23"/>
        <v>600</v>
      </c>
      <c r="L56" s="25">
        <f t="shared" si="23"/>
        <v>600</v>
      </c>
      <c r="M56" s="25">
        <f t="shared" si="23"/>
        <v>600</v>
      </c>
      <c r="N56" s="25">
        <f t="shared" si="23"/>
        <v>600</v>
      </c>
      <c r="O56" s="25">
        <f t="shared" si="23"/>
        <v>600</v>
      </c>
      <c r="P56" s="25">
        <f t="shared" si="5"/>
        <v>600</v>
      </c>
      <c r="Q56" s="25">
        <f t="shared" si="7"/>
        <v>600</v>
      </c>
      <c r="R56" s="3">
        <v>611.90615718361903</v>
      </c>
      <c r="S56" s="3">
        <v>612.86123294235529</v>
      </c>
      <c r="T56" s="3">
        <v>613.72263067101733</v>
      </c>
      <c r="U56" s="3">
        <v>614.64553598556552</v>
      </c>
      <c r="V56" s="3">
        <v>615.62935500245828</v>
      </c>
      <c r="W56" s="3">
        <v>616.67243226611129</v>
      </c>
      <c r="X56" s="3">
        <v>617.77362880955673</v>
      </c>
      <c r="Y56" s="3">
        <v>618.92982951828537</v>
      </c>
      <c r="Z56" s="3">
        <v>620.24477239700025</v>
      </c>
      <c r="AA56" s="25">
        <f t="shared" si="8"/>
        <v>650</v>
      </c>
      <c r="AB56" s="25">
        <f t="shared" si="6"/>
        <v>650</v>
      </c>
      <c r="AC56" s="25">
        <f t="shared" si="24"/>
        <v>650</v>
      </c>
      <c r="AD56" s="25">
        <f t="shared" si="24"/>
        <v>650</v>
      </c>
      <c r="AE56" s="25">
        <f t="shared" si="24"/>
        <v>650</v>
      </c>
      <c r="AF56" s="25">
        <f t="shared" si="24"/>
        <v>650</v>
      </c>
      <c r="AG56" s="25">
        <f t="shared" si="24"/>
        <v>650</v>
      </c>
      <c r="AH56" s="25">
        <f t="shared" si="24"/>
        <v>650</v>
      </c>
      <c r="AI56" s="25">
        <f t="shared" si="24"/>
        <v>650</v>
      </c>
      <c r="AJ56" s="25">
        <f t="shared" si="24"/>
        <v>650</v>
      </c>
      <c r="AK56" s="15">
        <f t="shared" si="24"/>
        <v>650</v>
      </c>
      <c r="AL56" s="16">
        <v>10</v>
      </c>
      <c r="AM56" s="6">
        <f t="shared" si="20"/>
        <v>8.3333333333333329E-2</v>
      </c>
    </row>
    <row r="57" spans="5:39" ht="50.1" customHeight="1" x14ac:dyDescent="0.3">
      <c r="E57" s="5">
        <v>9</v>
      </c>
      <c r="F57" s="22">
        <f t="shared" si="19"/>
        <v>7.407407407407407E-2</v>
      </c>
      <c r="G57" s="29">
        <f t="shared" si="23"/>
        <v>600</v>
      </c>
      <c r="H57" s="25">
        <f t="shared" si="23"/>
        <v>600</v>
      </c>
      <c r="I57" s="25">
        <f t="shared" si="23"/>
        <v>600</v>
      </c>
      <c r="J57" s="25">
        <f t="shared" si="23"/>
        <v>600</v>
      </c>
      <c r="K57" s="25">
        <f t="shared" si="23"/>
        <v>600</v>
      </c>
      <c r="L57" s="25">
        <f t="shared" si="23"/>
        <v>600</v>
      </c>
      <c r="M57" s="25">
        <f t="shared" si="23"/>
        <v>600</v>
      </c>
      <c r="N57" s="25">
        <f t="shared" si="23"/>
        <v>600</v>
      </c>
      <c r="O57" s="25">
        <f t="shared" si="23"/>
        <v>600</v>
      </c>
      <c r="P57" s="25">
        <f t="shared" si="5"/>
        <v>600</v>
      </c>
      <c r="Q57" s="3">
        <v>608.08211193278419</v>
      </c>
      <c r="R57" s="3">
        <v>610.8931618133181</v>
      </c>
      <c r="S57" s="3">
        <v>611.71950708129771</v>
      </c>
      <c r="T57" s="3">
        <v>612.59092733208809</v>
      </c>
      <c r="U57" s="3">
        <v>613.52202297173278</v>
      </c>
      <c r="V57" s="3">
        <v>614.51070674691198</v>
      </c>
      <c r="W57" s="3">
        <v>615.55551648944538</v>
      </c>
      <c r="X57" s="3">
        <v>616.65540376091303</v>
      </c>
      <c r="Y57" s="3">
        <v>617.80914402556834</v>
      </c>
      <c r="Z57" s="3">
        <v>619.02795512632224</v>
      </c>
      <c r="AA57" s="3">
        <v>620.81176449919099</v>
      </c>
      <c r="AB57" s="25">
        <f t="shared" si="6"/>
        <v>650</v>
      </c>
      <c r="AC57" s="25">
        <f t="shared" si="24"/>
        <v>650</v>
      </c>
      <c r="AD57" s="25">
        <f t="shared" si="24"/>
        <v>650</v>
      </c>
      <c r="AE57" s="25">
        <f t="shared" si="24"/>
        <v>650</v>
      </c>
      <c r="AF57" s="25">
        <f t="shared" si="24"/>
        <v>650</v>
      </c>
      <c r="AG57" s="25">
        <f t="shared" si="24"/>
        <v>650</v>
      </c>
      <c r="AH57" s="25">
        <f t="shared" si="24"/>
        <v>650</v>
      </c>
      <c r="AI57" s="25">
        <f t="shared" si="24"/>
        <v>650</v>
      </c>
      <c r="AJ57" s="25">
        <f t="shared" si="24"/>
        <v>650</v>
      </c>
      <c r="AK57" s="15">
        <f t="shared" si="24"/>
        <v>650</v>
      </c>
      <c r="AL57" s="16">
        <v>9</v>
      </c>
      <c r="AM57" s="6">
        <f t="shared" si="20"/>
        <v>7.407407407407407E-2</v>
      </c>
    </row>
    <row r="58" spans="5:39" ht="50.1" customHeight="1" x14ac:dyDescent="0.3">
      <c r="E58" s="5">
        <v>8</v>
      </c>
      <c r="F58" s="22">
        <f t="shared" si="19"/>
        <v>6.4814814814814811E-2</v>
      </c>
      <c r="G58" s="29">
        <f t="shared" si="23"/>
        <v>600</v>
      </c>
      <c r="H58" s="25">
        <f t="shared" si="23"/>
        <v>600</v>
      </c>
      <c r="I58" s="25">
        <f t="shared" si="23"/>
        <v>600</v>
      </c>
      <c r="J58" s="25">
        <f t="shared" si="23"/>
        <v>600</v>
      </c>
      <c r="K58" s="25">
        <f t="shared" si="23"/>
        <v>600</v>
      </c>
      <c r="L58" s="25">
        <f t="shared" si="23"/>
        <v>600</v>
      </c>
      <c r="M58" s="25">
        <f t="shared" si="23"/>
        <v>600</v>
      </c>
      <c r="N58" s="25">
        <f t="shared" si="23"/>
        <v>600</v>
      </c>
      <c r="O58" s="26">
        <f t="shared" si="23"/>
        <v>600</v>
      </c>
      <c r="P58" s="3">
        <v>606.25397213003077</v>
      </c>
      <c r="Q58" s="3">
        <v>608.31146635386608</v>
      </c>
      <c r="R58" s="3">
        <v>609.43632123868076</v>
      </c>
      <c r="S58" s="3">
        <v>610.33849579883918</v>
      </c>
      <c r="T58" s="3">
        <v>611.27005221215938</v>
      </c>
      <c r="U58" s="3">
        <v>612.23992721625655</v>
      </c>
      <c r="V58" s="3">
        <v>613.25280346086538</v>
      </c>
      <c r="W58" s="3">
        <v>614.31196621704828</v>
      </c>
      <c r="X58" s="3">
        <v>615.41982506567638</v>
      </c>
      <c r="Y58" s="3">
        <v>616.5782261796827</v>
      </c>
      <c r="Z58" s="3">
        <v>617.79026302450984</v>
      </c>
      <c r="AA58" s="3">
        <v>619.10908770496076</v>
      </c>
      <c r="AB58" s="3">
        <v>620.76594797104724</v>
      </c>
      <c r="AC58" s="25">
        <f t="shared" si="24"/>
        <v>650</v>
      </c>
      <c r="AD58" s="25">
        <f t="shared" si="24"/>
        <v>650</v>
      </c>
      <c r="AE58" s="25">
        <f t="shared" si="24"/>
        <v>650</v>
      </c>
      <c r="AF58" s="25">
        <f t="shared" si="24"/>
        <v>650</v>
      </c>
      <c r="AG58" s="25">
        <f t="shared" si="24"/>
        <v>650</v>
      </c>
      <c r="AH58" s="25">
        <f t="shared" si="24"/>
        <v>650</v>
      </c>
      <c r="AI58" s="25">
        <f t="shared" si="24"/>
        <v>650</v>
      </c>
      <c r="AJ58" s="25">
        <f t="shared" si="24"/>
        <v>650</v>
      </c>
      <c r="AK58" s="15">
        <f t="shared" si="24"/>
        <v>650</v>
      </c>
      <c r="AL58" s="16">
        <v>8</v>
      </c>
      <c r="AM58" s="6">
        <f t="shared" si="20"/>
        <v>6.4814814814814811E-2</v>
      </c>
    </row>
    <row r="59" spans="5:39" ht="50.1" customHeight="1" x14ac:dyDescent="0.3">
      <c r="E59" s="5">
        <v>7</v>
      </c>
      <c r="F59" s="22">
        <f t="shared" si="19"/>
        <v>5.5555555555555552E-2</v>
      </c>
      <c r="G59" s="29">
        <f t="shared" ref="G59:N59" si="25">$R$2</f>
        <v>600</v>
      </c>
      <c r="H59" s="25">
        <f t="shared" si="25"/>
        <v>600</v>
      </c>
      <c r="I59" s="25">
        <f t="shared" si="25"/>
        <v>600</v>
      </c>
      <c r="J59" s="25">
        <f t="shared" si="25"/>
        <v>600</v>
      </c>
      <c r="K59" s="25">
        <f t="shared" si="25"/>
        <v>600</v>
      </c>
      <c r="L59" s="25">
        <f t="shared" si="25"/>
        <v>600</v>
      </c>
      <c r="M59" s="25">
        <f t="shared" si="25"/>
        <v>600</v>
      </c>
      <c r="N59" s="26">
        <f t="shared" si="25"/>
        <v>600</v>
      </c>
      <c r="O59" s="3">
        <v>604.23932728069758</v>
      </c>
      <c r="P59" s="3">
        <v>606.3806830561864</v>
      </c>
      <c r="Q59" s="3">
        <v>607.33117779361362</v>
      </c>
      <c r="R59" s="3">
        <v>608.21824836783492</v>
      </c>
      <c r="S59" s="3">
        <v>609.11059936682727</v>
      </c>
      <c r="T59" s="3">
        <v>610.03858458471825</v>
      </c>
      <c r="U59" s="3">
        <v>611.00520994299677</v>
      </c>
      <c r="V59" s="3">
        <v>612.01317958812569</v>
      </c>
      <c r="W59" s="3">
        <v>613.06490167930042</v>
      </c>
      <c r="X59" s="3">
        <v>614.1623830366841</v>
      </c>
      <c r="Y59" s="3">
        <v>615.30716002995541</v>
      </c>
      <c r="Z59" s="3">
        <v>616.50039476742677</v>
      </c>
      <c r="AA59" s="3">
        <v>617.74826214787572</v>
      </c>
      <c r="AB59" s="3">
        <v>619.06537748933465</v>
      </c>
      <c r="AC59" s="3">
        <v>620.93466734764309</v>
      </c>
      <c r="AD59" s="25">
        <f t="shared" ref="AD59:AK59" si="26">$R$3</f>
        <v>650</v>
      </c>
      <c r="AE59" s="25">
        <f t="shared" si="26"/>
        <v>650</v>
      </c>
      <c r="AF59" s="25">
        <f t="shared" si="26"/>
        <v>650</v>
      </c>
      <c r="AG59" s="25">
        <f t="shared" si="26"/>
        <v>650</v>
      </c>
      <c r="AH59" s="25">
        <f t="shared" si="26"/>
        <v>650</v>
      </c>
      <c r="AI59" s="25">
        <f t="shared" si="26"/>
        <v>650</v>
      </c>
      <c r="AJ59" s="25">
        <f t="shared" si="26"/>
        <v>650</v>
      </c>
      <c r="AK59" s="15">
        <f t="shared" si="26"/>
        <v>650</v>
      </c>
      <c r="AL59" s="16">
        <v>7</v>
      </c>
      <c r="AM59" s="6">
        <f t="shared" si="20"/>
        <v>5.5555555555555552E-2</v>
      </c>
    </row>
    <row r="60" spans="5:39" ht="50.1" customHeight="1" x14ac:dyDescent="0.3">
      <c r="E60" s="5">
        <v>6</v>
      </c>
      <c r="F60" s="22">
        <f t="shared" si="19"/>
        <v>4.6296296296296294E-2</v>
      </c>
      <c r="G60" s="29">
        <f t="shared" ref="G60:L60" si="27">$R$2</f>
        <v>600</v>
      </c>
      <c r="H60" s="25">
        <f t="shared" si="27"/>
        <v>600</v>
      </c>
      <c r="I60" s="25">
        <f t="shared" si="27"/>
        <v>600</v>
      </c>
      <c r="J60" s="25">
        <f t="shared" si="27"/>
        <v>600</v>
      </c>
      <c r="K60" s="25">
        <f t="shared" si="27"/>
        <v>600</v>
      </c>
      <c r="L60" s="25">
        <f t="shared" si="27"/>
        <v>600</v>
      </c>
      <c r="M60" s="3">
        <v>602.89593393372695</v>
      </c>
      <c r="N60" s="3">
        <v>603.39347809769004</v>
      </c>
      <c r="O60" s="3">
        <v>604.35863360897463</v>
      </c>
      <c r="P60" s="3">
        <v>605.37516464221596</v>
      </c>
      <c r="Q60" s="3">
        <v>606.24695820601289</v>
      </c>
      <c r="R60" s="3">
        <v>607.11892565307949</v>
      </c>
      <c r="S60" s="3">
        <v>608.00781568587786</v>
      </c>
      <c r="T60" s="3">
        <v>608.92486362471766</v>
      </c>
      <c r="U60" s="3">
        <v>609.87600192924072</v>
      </c>
      <c r="V60" s="3">
        <v>610.86574403623501</v>
      </c>
      <c r="W60" s="3">
        <v>611.89768521151814</v>
      </c>
      <c r="X60" s="3">
        <v>612.97486502167567</v>
      </c>
      <c r="Y60" s="3">
        <v>614.10009289558116</v>
      </c>
      <c r="Z60" s="3">
        <v>615.27632387744904</v>
      </c>
      <c r="AA60" s="3">
        <v>616.50774772954071</v>
      </c>
      <c r="AB60" s="3">
        <v>617.80042818962124</v>
      </c>
      <c r="AC60" s="3">
        <v>619.20776693947084</v>
      </c>
      <c r="AD60" s="3">
        <v>620.75603941818918</v>
      </c>
      <c r="AE60" s="3">
        <v>621.98921687875782</v>
      </c>
      <c r="AF60" s="25">
        <f t="shared" ref="AF60:AK60" si="28">$R$3</f>
        <v>650</v>
      </c>
      <c r="AG60" s="25">
        <f t="shared" si="28"/>
        <v>650</v>
      </c>
      <c r="AH60" s="25">
        <f t="shared" si="28"/>
        <v>650</v>
      </c>
      <c r="AI60" s="25">
        <f t="shared" si="28"/>
        <v>650</v>
      </c>
      <c r="AJ60" s="25">
        <f t="shared" si="28"/>
        <v>650</v>
      </c>
      <c r="AK60" s="15">
        <f t="shared" si="28"/>
        <v>650</v>
      </c>
      <c r="AL60" s="16">
        <v>6</v>
      </c>
      <c r="AM60" s="6">
        <f t="shared" si="20"/>
        <v>4.6296296296296294E-2</v>
      </c>
    </row>
    <row r="61" spans="5:39" ht="50.1" customHeight="1" x14ac:dyDescent="0.3">
      <c r="E61" s="5">
        <v>5</v>
      </c>
      <c r="F61" s="22">
        <f t="shared" si="19"/>
        <v>3.7037037037037035E-2</v>
      </c>
      <c r="G61" s="29">
        <f>$R$2</f>
        <v>600</v>
      </c>
      <c r="H61" s="25">
        <f>$R$2</f>
        <v>600</v>
      </c>
      <c r="I61" s="25">
        <f>$R$2</f>
        <v>600</v>
      </c>
      <c r="J61" s="25">
        <f>$R$2</f>
        <v>600</v>
      </c>
      <c r="K61" s="3">
        <v>602.18137769003545</v>
      </c>
      <c r="L61" s="3">
        <v>602.45626620796963</v>
      </c>
      <c r="M61" s="3">
        <v>602.96709334539901</v>
      </c>
      <c r="N61" s="3">
        <v>603.47892809614677</v>
      </c>
      <c r="O61" s="3">
        <v>604.13615778322242</v>
      </c>
      <c r="P61" s="3">
        <v>604.85042768423432</v>
      </c>
      <c r="Q61" s="3">
        <v>605.58914640738931</v>
      </c>
      <c r="R61" s="3">
        <v>606.36603150147425</v>
      </c>
      <c r="S61" s="3">
        <v>607.18221289046414</v>
      </c>
      <c r="T61" s="3">
        <v>608.03922619001753</v>
      </c>
      <c r="U61" s="3">
        <v>608.93831444891077</v>
      </c>
      <c r="V61" s="3">
        <v>609.8806180228803</v>
      </c>
      <c r="W61" s="3">
        <v>610.86708504979993</v>
      </c>
      <c r="X61" s="3">
        <v>611.89842664185983</v>
      </c>
      <c r="Y61" s="3">
        <v>612.97509439363193</v>
      </c>
      <c r="Z61" s="3">
        <v>614.09726307631729</v>
      </c>
      <c r="AA61" s="3">
        <v>615.26486471598878</v>
      </c>
      <c r="AB61" s="3">
        <v>616.47744702552041</v>
      </c>
      <c r="AC61" s="3">
        <v>617.73907244734755</v>
      </c>
      <c r="AD61" s="3">
        <v>619.0369502803735</v>
      </c>
      <c r="AE61" s="3">
        <v>620.32467500798668</v>
      </c>
      <c r="AF61" s="3">
        <v>621.79359790605508</v>
      </c>
      <c r="AG61" s="3">
        <v>622.93256311484265</v>
      </c>
      <c r="AH61" s="25">
        <f>$R$3</f>
        <v>650</v>
      </c>
      <c r="AI61" s="25">
        <f>$R$3</f>
        <v>650</v>
      </c>
      <c r="AJ61" s="25">
        <f>$R$3</f>
        <v>650</v>
      </c>
      <c r="AK61" s="15">
        <f>$R$3</f>
        <v>650</v>
      </c>
      <c r="AL61" s="16">
        <v>5</v>
      </c>
      <c r="AM61" s="6">
        <f t="shared" si="20"/>
        <v>3.7037037037037035E-2</v>
      </c>
    </row>
    <row r="62" spans="5:39" ht="50.1" customHeight="1" x14ac:dyDescent="0.3">
      <c r="E62" s="5">
        <v>4</v>
      </c>
      <c r="F62" s="22">
        <f t="shared" si="19"/>
        <v>2.7777777777777776E-2</v>
      </c>
      <c r="G62" s="29">
        <f t="shared" ref="G62:I63" si="29">$R$2</f>
        <v>600</v>
      </c>
      <c r="H62" s="25">
        <f t="shared" si="29"/>
        <v>600</v>
      </c>
      <c r="I62" s="25">
        <f t="shared" si="29"/>
        <v>600</v>
      </c>
      <c r="J62" s="3">
        <v>601.89994926217923</v>
      </c>
      <c r="K62" s="3">
        <v>602.21711747753398</v>
      </c>
      <c r="L62" s="3">
        <v>602.5003093878679</v>
      </c>
      <c r="M62" s="3">
        <v>602.89257283669656</v>
      </c>
      <c r="N62" s="3">
        <v>603.33994414214726</v>
      </c>
      <c r="O62" s="3">
        <v>603.86658054528948</v>
      </c>
      <c r="P62" s="3">
        <v>604.45634147905901</v>
      </c>
      <c r="Q62" s="3">
        <v>605.10006176129468</v>
      </c>
      <c r="R62" s="3">
        <v>605.79635165337834</v>
      </c>
      <c r="S62" s="3">
        <v>606.5432366217949</v>
      </c>
      <c r="T62" s="3">
        <v>607.33935633438796</v>
      </c>
      <c r="U62" s="3">
        <v>608.18362782117197</v>
      </c>
      <c r="V62" s="3">
        <v>609.07508892826343</v>
      </c>
      <c r="W62" s="3">
        <v>610.01274369851012</v>
      </c>
      <c r="X62" s="3">
        <v>610.9954342051783</v>
      </c>
      <c r="Y62" s="3">
        <v>612.02172305719637</v>
      </c>
      <c r="Z62" s="3">
        <v>613.089770796876</v>
      </c>
      <c r="AA62" s="3">
        <v>614.1971979391268</v>
      </c>
      <c r="AB62" s="3">
        <v>615.34088107068362</v>
      </c>
      <c r="AC62" s="3">
        <v>616.5172721729499</v>
      </c>
      <c r="AD62" s="3">
        <v>617.71916887663633</v>
      </c>
      <c r="AE62" s="3">
        <v>618.93400105508238</v>
      </c>
      <c r="AF62" s="3">
        <v>620.17008547690602</v>
      </c>
      <c r="AG62" s="3">
        <v>621.36990320183213</v>
      </c>
      <c r="AH62" s="3">
        <v>623.17556852846758</v>
      </c>
      <c r="AI62" s="25">
        <f t="shared" ref="AI62:AK63" si="30">$R$3</f>
        <v>650</v>
      </c>
      <c r="AJ62" s="25">
        <f t="shared" si="30"/>
        <v>650</v>
      </c>
      <c r="AK62" s="15">
        <f t="shared" si="30"/>
        <v>650</v>
      </c>
      <c r="AL62" s="16">
        <v>4</v>
      </c>
      <c r="AM62" s="6">
        <f t="shared" si="20"/>
        <v>2.7777777777777776E-2</v>
      </c>
    </row>
    <row r="63" spans="5:39" ht="50.1" customHeight="1" x14ac:dyDescent="0.3">
      <c r="E63" s="5">
        <v>3</v>
      </c>
      <c r="F63" s="22">
        <f t="shared" si="19"/>
        <v>1.8518518518518517E-2</v>
      </c>
      <c r="G63" s="29">
        <f t="shared" si="29"/>
        <v>600</v>
      </c>
      <c r="H63" s="25">
        <f t="shared" si="29"/>
        <v>600</v>
      </c>
      <c r="I63" s="25">
        <f t="shared" si="29"/>
        <v>600</v>
      </c>
      <c r="J63" s="3">
        <v>601.99093006567045</v>
      </c>
      <c r="K63" s="3">
        <v>602.20248090079838</v>
      </c>
      <c r="L63" s="3">
        <v>602.46901575436959</v>
      </c>
      <c r="M63" s="3">
        <v>602.80798915277558</v>
      </c>
      <c r="N63" s="3">
        <v>603.21102291130501</v>
      </c>
      <c r="O63" s="3">
        <v>603.67994206147148</v>
      </c>
      <c r="P63" s="3">
        <v>604.2107695406753</v>
      </c>
      <c r="Q63" s="3">
        <v>604.80021444848558</v>
      </c>
      <c r="R63" s="3">
        <v>605.44618593904852</v>
      </c>
      <c r="S63" s="3">
        <v>606.14668203258873</v>
      </c>
      <c r="T63" s="3">
        <v>606.89988620684142</v>
      </c>
      <c r="U63" s="3">
        <v>607.70406651446001</v>
      </c>
      <c r="V63" s="3">
        <v>608.5574928222195</v>
      </c>
      <c r="W63" s="3">
        <v>609.45835307438608</v>
      </c>
      <c r="X63" s="3">
        <v>610.40467397489806</v>
      </c>
      <c r="Y63" s="3">
        <v>611.39424548373904</v>
      </c>
      <c r="Z63" s="3">
        <v>612.42454830369184</v>
      </c>
      <c r="AA63" s="3">
        <v>613.49268504853944</v>
      </c>
      <c r="AB63" s="3">
        <v>614.59531276244047</v>
      </c>
      <c r="AC63" s="3">
        <v>615.72865516770332</v>
      </c>
      <c r="AD63" s="3">
        <v>616.88808856606397</v>
      </c>
      <c r="AE63" s="3">
        <v>618.06814247806233</v>
      </c>
      <c r="AF63" s="3">
        <v>619.26617531345448</v>
      </c>
      <c r="AG63" s="3">
        <v>620.47124679155718</v>
      </c>
      <c r="AH63" s="3">
        <v>621.75777122839474</v>
      </c>
      <c r="AI63" s="25">
        <f t="shared" si="30"/>
        <v>650</v>
      </c>
      <c r="AJ63" s="25">
        <f t="shared" si="30"/>
        <v>650</v>
      </c>
      <c r="AK63" s="15">
        <f t="shared" si="30"/>
        <v>650</v>
      </c>
      <c r="AL63" s="16">
        <v>3</v>
      </c>
      <c r="AM63" s="6">
        <f t="shared" si="20"/>
        <v>1.8518518518518517E-2</v>
      </c>
    </row>
    <row r="64" spans="5:39" ht="50.1" customHeight="1" x14ac:dyDescent="0.3">
      <c r="E64" s="5">
        <v>2</v>
      </c>
      <c r="F64" s="22">
        <f t="shared" si="19"/>
        <v>9.2592592592592587E-3</v>
      </c>
      <c r="G64" s="29">
        <f>$R$2</f>
        <v>600</v>
      </c>
      <c r="H64" s="25">
        <f>$R$2</f>
        <v>600</v>
      </c>
      <c r="I64" s="3">
        <v>601.62115517991037</v>
      </c>
      <c r="J64" s="3">
        <v>601.88857900081848</v>
      </c>
      <c r="K64" s="3">
        <v>602.09968827037494</v>
      </c>
      <c r="L64" s="3">
        <v>602.36591076449258</v>
      </c>
      <c r="M64" s="3">
        <v>602.69215478191609</v>
      </c>
      <c r="N64" s="3">
        <v>603.07839231115508</v>
      </c>
      <c r="O64" s="3">
        <v>603.52526129122896</v>
      </c>
      <c r="P64" s="3">
        <v>604.03183956072007</v>
      </c>
      <c r="Q64" s="3">
        <v>604.59682613257655</v>
      </c>
      <c r="R64" s="3">
        <v>605.21882716658934</v>
      </c>
      <c r="S64" s="3">
        <v>605.89628548011831</v>
      </c>
      <c r="T64" s="3">
        <v>606.62753961090971</v>
      </c>
      <c r="U64" s="3">
        <v>607.41082515313872</v>
      </c>
      <c r="V64" s="3">
        <v>608.24425784557809</v>
      </c>
      <c r="W64" s="3">
        <v>609.12580329881166</v>
      </c>
      <c r="X64" s="3">
        <v>610.05324007108129</v>
      </c>
      <c r="Y64" s="3">
        <v>611.02412079444389</v>
      </c>
      <c r="Z64" s="3">
        <v>612.03573539172794</v>
      </c>
      <c r="AA64" s="3">
        <v>613.08508054051981</v>
      </c>
      <c r="AB64" s="3">
        <v>614.16883946834957</v>
      </c>
      <c r="AC64" s="3">
        <v>615.28338770985033</v>
      </c>
      <c r="AD64" s="3">
        <v>616.42475851217228</v>
      </c>
      <c r="AE64" s="3">
        <v>617.58871993831463</v>
      </c>
      <c r="AF64" s="3">
        <v>618.77139764074957</v>
      </c>
      <c r="AG64" s="3">
        <v>619.96769614281538</v>
      </c>
      <c r="AH64" s="3">
        <v>621.18416725134739</v>
      </c>
      <c r="AI64" s="3">
        <v>623.82230551862142</v>
      </c>
      <c r="AJ64" s="25">
        <f>$R$3</f>
        <v>650</v>
      </c>
      <c r="AK64" s="15">
        <f>$R$3</f>
        <v>650</v>
      </c>
      <c r="AL64" s="16">
        <v>2</v>
      </c>
      <c r="AM64" s="6">
        <f t="shared" si="20"/>
        <v>9.2592592592592587E-3</v>
      </c>
    </row>
    <row r="65" spans="3:157" ht="50.1" customHeight="1" x14ac:dyDescent="0.3">
      <c r="E65" s="5">
        <v>1</v>
      </c>
      <c r="F65" s="22">
        <v>0</v>
      </c>
      <c r="G65" s="30">
        <f>$R$2</f>
        <v>600</v>
      </c>
      <c r="H65" s="31">
        <f>$R$2</f>
        <v>600</v>
      </c>
      <c r="I65" s="3">
        <v>601.62115517991037</v>
      </c>
      <c r="J65" s="3">
        <v>601.88857900081848</v>
      </c>
      <c r="K65" s="3">
        <v>602.09968827037494</v>
      </c>
      <c r="L65" s="3">
        <v>602.36591076449258</v>
      </c>
      <c r="M65" s="3">
        <v>602.69215478191597</v>
      </c>
      <c r="N65" s="3">
        <v>603.07839231115508</v>
      </c>
      <c r="O65" s="3">
        <v>603.52526129122896</v>
      </c>
      <c r="P65" s="3">
        <v>604.03183956072007</v>
      </c>
      <c r="Q65" s="3">
        <v>604.59682613257644</v>
      </c>
      <c r="R65" s="3">
        <v>605.21882716658934</v>
      </c>
      <c r="S65" s="3">
        <v>605.89628548011831</v>
      </c>
      <c r="T65" s="3">
        <v>606.62753961090971</v>
      </c>
      <c r="U65" s="3">
        <v>607.41082515313872</v>
      </c>
      <c r="V65" s="3">
        <v>608.24425784557809</v>
      </c>
      <c r="W65" s="3">
        <v>609.12580329881166</v>
      </c>
      <c r="X65" s="3">
        <v>610.05324007108118</v>
      </c>
      <c r="Y65" s="3">
        <v>611.02412079444377</v>
      </c>
      <c r="Z65" s="3">
        <v>612.03573539172794</v>
      </c>
      <c r="AA65" s="3">
        <v>613.08508054051981</v>
      </c>
      <c r="AB65" s="3">
        <v>614.16883946834957</v>
      </c>
      <c r="AC65" s="3">
        <v>615.28338770985033</v>
      </c>
      <c r="AD65" s="3">
        <v>616.42475851217228</v>
      </c>
      <c r="AE65" s="3">
        <v>617.58871993831463</v>
      </c>
      <c r="AF65" s="3">
        <v>618.77139764074957</v>
      </c>
      <c r="AG65" s="3">
        <v>619.96769614281527</v>
      </c>
      <c r="AH65" s="3">
        <v>621.18416725134739</v>
      </c>
      <c r="AI65" s="3">
        <v>623.82230551862142</v>
      </c>
      <c r="AJ65" s="30">
        <f>$R$3</f>
        <v>650</v>
      </c>
      <c r="AK65" s="26">
        <f>$R$3</f>
        <v>650</v>
      </c>
      <c r="AL65" s="16">
        <v>1</v>
      </c>
      <c r="AM65" s="6">
        <v>0</v>
      </c>
    </row>
    <row r="66" spans="3:157" ht="15" customHeight="1" x14ac:dyDescent="0.3">
      <c r="E66" s="10"/>
      <c r="F66" s="8"/>
      <c r="G66" s="27">
        <v>0</v>
      </c>
      <c r="H66" s="28">
        <f t="shared" ref="H66:AK66" si="31">$B$5*(H67-1)</f>
        <v>3.3333333333333335E-3</v>
      </c>
      <c r="I66" s="6">
        <f t="shared" si="31"/>
        <v>6.6666666666666671E-3</v>
      </c>
      <c r="J66" s="6">
        <f t="shared" si="31"/>
        <v>0.01</v>
      </c>
      <c r="K66" s="6">
        <f t="shared" si="31"/>
        <v>1.3333333333333334E-2</v>
      </c>
      <c r="L66" s="6">
        <f t="shared" si="31"/>
        <v>1.6666666666666666E-2</v>
      </c>
      <c r="M66" s="6">
        <f t="shared" si="31"/>
        <v>0.02</v>
      </c>
      <c r="N66" s="6">
        <f t="shared" si="31"/>
        <v>2.3333333333333334E-2</v>
      </c>
      <c r="O66" s="6">
        <f t="shared" si="31"/>
        <v>2.6666666666666668E-2</v>
      </c>
      <c r="P66" s="6">
        <f t="shared" si="31"/>
        <v>3.0000000000000002E-2</v>
      </c>
      <c r="Q66" s="6">
        <f t="shared" si="31"/>
        <v>3.3333333333333333E-2</v>
      </c>
      <c r="R66" s="6">
        <f t="shared" si="31"/>
        <v>3.6666666666666667E-2</v>
      </c>
      <c r="S66" s="6">
        <f t="shared" si="31"/>
        <v>0.04</v>
      </c>
      <c r="T66" s="6">
        <f t="shared" si="31"/>
        <v>4.3333333333333335E-2</v>
      </c>
      <c r="U66" s="6">
        <f t="shared" si="31"/>
        <v>4.6666666666666669E-2</v>
      </c>
      <c r="V66" s="6">
        <f t="shared" si="31"/>
        <v>0.05</v>
      </c>
      <c r="W66" s="6">
        <f t="shared" si="31"/>
        <v>5.3333333333333337E-2</v>
      </c>
      <c r="X66" s="6">
        <f t="shared" si="31"/>
        <v>5.6666666666666671E-2</v>
      </c>
      <c r="Y66" s="6">
        <f t="shared" si="31"/>
        <v>6.0000000000000005E-2</v>
      </c>
      <c r="Z66" s="6">
        <f t="shared" si="31"/>
        <v>6.3333333333333339E-2</v>
      </c>
      <c r="AA66" s="6">
        <f t="shared" si="31"/>
        <v>6.6666666666666666E-2</v>
      </c>
      <c r="AB66" s="6">
        <f t="shared" si="31"/>
        <v>7.0000000000000007E-2</v>
      </c>
      <c r="AC66" s="6">
        <f t="shared" si="31"/>
        <v>7.3333333333333334E-2</v>
      </c>
      <c r="AD66" s="6">
        <f t="shared" si="31"/>
        <v>7.6666666666666675E-2</v>
      </c>
      <c r="AE66" s="6">
        <f t="shared" si="31"/>
        <v>0.08</v>
      </c>
      <c r="AF66" s="6">
        <f t="shared" si="31"/>
        <v>8.3333333333333343E-2</v>
      </c>
      <c r="AG66" s="6">
        <f t="shared" si="31"/>
        <v>8.666666666666667E-2</v>
      </c>
      <c r="AH66" s="6">
        <f t="shared" si="31"/>
        <v>9.0000000000000011E-2</v>
      </c>
      <c r="AI66" s="28">
        <f t="shared" si="31"/>
        <v>9.3333333333333338E-2</v>
      </c>
      <c r="AJ66" s="28">
        <f t="shared" si="31"/>
        <v>9.6666666666666679E-2</v>
      </c>
      <c r="AK66" s="28">
        <f t="shared" si="31"/>
        <v>0.1</v>
      </c>
      <c r="AL66" s="4"/>
      <c r="AM66" s="8"/>
    </row>
    <row r="67" spans="3:157" ht="15" customHeight="1" x14ac:dyDescent="0.3">
      <c r="E67" s="11"/>
      <c r="F67" s="9"/>
      <c r="G67" s="5">
        <v>1</v>
      </c>
      <c r="H67" s="5">
        <v>2</v>
      </c>
      <c r="I67" s="5">
        <v>3</v>
      </c>
      <c r="J67" s="5">
        <v>4</v>
      </c>
      <c r="K67" s="5">
        <v>5</v>
      </c>
      <c r="L67" s="5">
        <v>6</v>
      </c>
      <c r="M67" s="5">
        <v>7</v>
      </c>
      <c r="N67" s="5">
        <v>8</v>
      </c>
      <c r="O67" s="5">
        <v>9</v>
      </c>
      <c r="P67" s="5">
        <v>10</v>
      </c>
      <c r="Q67" s="5">
        <v>11</v>
      </c>
      <c r="R67" s="5">
        <v>12</v>
      </c>
      <c r="S67" s="5">
        <v>13</v>
      </c>
      <c r="T67" s="5">
        <v>14</v>
      </c>
      <c r="U67" s="5">
        <v>15</v>
      </c>
      <c r="V67" s="5">
        <v>16</v>
      </c>
      <c r="W67" s="5">
        <v>17</v>
      </c>
      <c r="X67" s="5">
        <v>18</v>
      </c>
      <c r="Y67" s="5">
        <v>19</v>
      </c>
      <c r="Z67" s="5">
        <v>20</v>
      </c>
      <c r="AA67" s="5">
        <v>21</v>
      </c>
      <c r="AB67" s="5">
        <v>22</v>
      </c>
      <c r="AC67" s="5">
        <v>23</v>
      </c>
      <c r="AD67" s="5">
        <v>24</v>
      </c>
      <c r="AE67" s="5">
        <v>25</v>
      </c>
      <c r="AF67" s="5">
        <v>26</v>
      </c>
      <c r="AG67" s="5">
        <v>27</v>
      </c>
      <c r="AH67" s="5">
        <v>28</v>
      </c>
      <c r="AI67" s="5">
        <v>29</v>
      </c>
      <c r="AJ67" s="5">
        <v>30</v>
      </c>
      <c r="AK67" s="5">
        <v>31</v>
      </c>
      <c r="AL67" s="12"/>
      <c r="AM67" s="9"/>
    </row>
    <row r="68" spans="3:157" ht="15" customHeight="1" x14ac:dyDescent="0.3"/>
    <row r="69" spans="3:157" ht="15" customHeight="1" x14ac:dyDescent="0.3"/>
    <row r="70" spans="3:157" ht="15" customHeight="1" x14ac:dyDescent="0.3"/>
    <row r="71" spans="3:157" ht="15" customHeight="1" x14ac:dyDescent="0.3"/>
    <row r="72" spans="3:157" ht="15" customHeight="1" x14ac:dyDescent="0.3">
      <c r="C72" s="94" t="s">
        <v>22</v>
      </c>
      <c r="D72" s="95"/>
      <c r="E72" s="92" t="s">
        <v>20</v>
      </c>
      <c r="F72" s="93"/>
      <c r="G72" s="5">
        <v>1</v>
      </c>
      <c r="H72" s="5">
        <v>2</v>
      </c>
      <c r="I72" s="5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  <c r="AD72" s="5">
        <v>24</v>
      </c>
      <c r="AE72" s="5">
        <v>25</v>
      </c>
      <c r="AF72" s="5">
        <v>26</v>
      </c>
      <c r="AG72" s="5">
        <v>27</v>
      </c>
      <c r="AH72" s="5">
        <v>28</v>
      </c>
      <c r="AI72" s="5">
        <v>29</v>
      </c>
      <c r="AJ72" s="5">
        <v>30</v>
      </c>
      <c r="AK72" s="5">
        <v>31</v>
      </c>
      <c r="AL72" s="4"/>
      <c r="AM72" s="13"/>
      <c r="AP72" s="94" t="s">
        <v>23</v>
      </c>
      <c r="AQ72" s="101"/>
      <c r="AR72" s="92" t="s">
        <v>20</v>
      </c>
      <c r="AS72" s="93"/>
      <c r="AT72" s="5">
        <v>1</v>
      </c>
      <c r="AU72" s="5">
        <v>2</v>
      </c>
      <c r="AV72" s="5">
        <v>3</v>
      </c>
      <c r="AW72" s="5">
        <v>4</v>
      </c>
      <c r="AX72" s="5">
        <v>5</v>
      </c>
      <c r="AY72" s="5">
        <v>6</v>
      </c>
      <c r="AZ72" s="5">
        <v>7</v>
      </c>
      <c r="BA72" s="5">
        <v>8</v>
      </c>
      <c r="BB72" s="5">
        <v>9</v>
      </c>
      <c r="BC72" s="5">
        <v>10</v>
      </c>
      <c r="BD72" s="5">
        <v>11</v>
      </c>
      <c r="BE72" s="5">
        <v>12</v>
      </c>
      <c r="BF72" s="5">
        <v>13</v>
      </c>
      <c r="BG72" s="5">
        <v>14</v>
      </c>
      <c r="BH72" s="5">
        <v>15</v>
      </c>
      <c r="BI72" s="5">
        <v>16</v>
      </c>
      <c r="BJ72" s="5">
        <v>17</v>
      </c>
      <c r="BK72" s="5">
        <v>18</v>
      </c>
      <c r="BL72" s="5">
        <v>19</v>
      </c>
      <c r="BM72" s="5">
        <v>20</v>
      </c>
      <c r="BN72" s="5">
        <v>21</v>
      </c>
      <c r="BO72" s="5">
        <v>22</v>
      </c>
      <c r="BP72" s="5">
        <v>23</v>
      </c>
      <c r="BQ72" s="5">
        <v>24</v>
      </c>
      <c r="BR72" s="5">
        <v>25</v>
      </c>
      <c r="BS72" s="5">
        <v>26</v>
      </c>
      <c r="BT72" s="5">
        <v>27</v>
      </c>
      <c r="BU72" s="5">
        <v>28</v>
      </c>
      <c r="BV72" s="5">
        <v>29</v>
      </c>
      <c r="BW72" s="5">
        <v>30</v>
      </c>
      <c r="BX72" s="5">
        <v>31</v>
      </c>
      <c r="BY72" s="4"/>
      <c r="BZ72" s="13"/>
      <c r="CC72" s="94" t="s">
        <v>34</v>
      </c>
      <c r="CD72" s="95"/>
      <c r="CE72" s="92" t="s">
        <v>20</v>
      </c>
      <c r="CF72" s="93"/>
      <c r="CG72" s="5">
        <v>1</v>
      </c>
      <c r="CH72" s="5">
        <v>2</v>
      </c>
      <c r="CI72" s="5">
        <v>3</v>
      </c>
      <c r="CJ72" s="5">
        <v>4</v>
      </c>
      <c r="CK72" s="5">
        <v>5</v>
      </c>
      <c r="CL72" s="5">
        <v>6</v>
      </c>
      <c r="CM72" s="5">
        <v>7</v>
      </c>
      <c r="CN72" s="5">
        <v>8</v>
      </c>
      <c r="CO72" s="5">
        <v>9</v>
      </c>
      <c r="CP72" s="5">
        <v>10</v>
      </c>
      <c r="CQ72" s="5">
        <v>11</v>
      </c>
      <c r="CR72" s="5">
        <v>12</v>
      </c>
      <c r="CS72" s="5">
        <v>13</v>
      </c>
      <c r="CT72" s="5">
        <v>14</v>
      </c>
      <c r="CU72" s="5">
        <v>15</v>
      </c>
      <c r="CV72" s="5">
        <v>16</v>
      </c>
      <c r="CW72" s="5">
        <v>17</v>
      </c>
      <c r="CX72" s="5">
        <v>18</v>
      </c>
      <c r="CY72" s="5">
        <v>19</v>
      </c>
      <c r="CZ72" s="5">
        <v>20</v>
      </c>
      <c r="DA72" s="5">
        <v>21</v>
      </c>
      <c r="DB72" s="5">
        <v>22</v>
      </c>
      <c r="DC72" s="5">
        <v>23</v>
      </c>
      <c r="DD72" s="5">
        <v>24</v>
      </c>
      <c r="DE72" s="5">
        <v>25</v>
      </c>
      <c r="DF72" s="5">
        <v>26</v>
      </c>
      <c r="DG72" s="5">
        <v>27</v>
      </c>
      <c r="DH72" s="5">
        <v>28</v>
      </c>
      <c r="DI72" s="5">
        <v>29</v>
      </c>
      <c r="DJ72" s="5">
        <v>30</v>
      </c>
      <c r="DK72" s="5">
        <v>31</v>
      </c>
      <c r="DL72" s="4"/>
      <c r="DM72" s="13"/>
      <c r="DQ72" s="94" t="s">
        <v>35</v>
      </c>
      <c r="DR72" s="95"/>
      <c r="DS72" s="92" t="s">
        <v>20</v>
      </c>
      <c r="DT72" s="93"/>
      <c r="DU72" s="5">
        <v>1</v>
      </c>
      <c r="DV72" s="5">
        <v>2</v>
      </c>
      <c r="DW72" s="5">
        <v>3</v>
      </c>
      <c r="DX72" s="5">
        <v>4</v>
      </c>
      <c r="DY72" s="5">
        <v>5</v>
      </c>
      <c r="DZ72" s="5">
        <v>6</v>
      </c>
      <c r="EA72" s="5">
        <v>7</v>
      </c>
      <c r="EB72" s="5">
        <v>8</v>
      </c>
      <c r="EC72" s="5">
        <v>9</v>
      </c>
      <c r="ED72" s="5">
        <v>10</v>
      </c>
      <c r="EE72" s="5">
        <v>11</v>
      </c>
      <c r="EF72" s="5">
        <v>12</v>
      </c>
      <c r="EG72" s="5">
        <v>13</v>
      </c>
      <c r="EH72" s="5">
        <v>14</v>
      </c>
      <c r="EI72" s="5">
        <v>15</v>
      </c>
      <c r="EJ72" s="5">
        <v>16</v>
      </c>
      <c r="EK72" s="5">
        <v>17</v>
      </c>
      <c r="EL72" s="5">
        <v>18</v>
      </c>
      <c r="EM72" s="5">
        <v>19</v>
      </c>
      <c r="EN72" s="5">
        <v>20</v>
      </c>
      <c r="EO72" s="5">
        <v>21</v>
      </c>
      <c r="EP72" s="5">
        <v>22</v>
      </c>
      <c r="EQ72" s="5">
        <v>23</v>
      </c>
      <c r="ER72" s="5">
        <v>24</v>
      </c>
      <c r="ES72" s="5">
        <v>25</v>
      </c>
      <c r="ET72" s="5">
        <v>26</v>
      </c>
      <c r="EU72" s="5">
        <v>27</v>
      </c>
      <c r="EV72" s="5">
        <v>28</v>
      </c>
      <c r="EW72" s="5">
        <v>29</v>
      </c>
      <c r="EX72" s="5">
        <v>30</v>
      </c>
      <c r="EY72" s="5">
        <v>31</v>
      </c>
      <c r="EZ72" s="4"/>
      <c r="FA72" s="13"/>
    </row>
    <row r="73" spans="3:157" ht="15" customHeight="1" x14ac:dyDescent="0.3">
      <c r="C73" s="94"/>
      <c r="D73" s="95"/>
      <c r="E73" s="92" t="s">
        <v>21</v>
      </c>
      <c r="F73" s="93"/>
      <c r="G73" s="5">
        <v>0</v>
      </c>
      <c r="H73" s="6">
        <f>$B$5*(H72-1)</f>
        <v>3.3333333333333335E-3</v>
      </c>
      <c r="I73" s="6">
        <f t="shared" ref="I73:AJ73" si="32">$B$5*(I72-1)</f>
        <v>6.6666666666666671E-3</v>
      </c>
      <c r="J73" s="6">
        <f t="shared" si="32"/>
        <v>0.01</v>
      </c>
      <c r="K73" s="6">
        <f t="shared" si="32"/>
        <v>1.3333333333333334E-2</v>
      </c>
      <c r="L73" s="6">
        <f t="shared" si="32"/>
        <v>1.6666666666666666E-2</v>
      </c>
      <c r="M73" s="6">
        <f t="shared" si="32"/>
        <v>0.02</v>
      </c>
      <c r="N73" s="6">
        <f t="shared" si="32"/>
        <v>2.3333333333333334E-2</v>
      </c>
      <c r="O73" s="6">
        <f t="shared" si="32"/>
        <v>2.6666666666666668E-2</v>
      </c>
      <c r="P73" s="6">
        <f t="shared" si="32"/>
        <v>3.0000000000000002E-2</v>
      </c>
      <c r="Q73" s="6">
        <f t="shared" si="32"/>
        <v>3.3333333333333333E-2</v>
      </c>
      <c r="R73" s="6">
        <f t="shared" si="32"/>
        <v>3.6666666666666667E-2</v>
      </c>
      <c r="S73" s="6">
        <f t="shared" si="32"/>
        <v>0.04</v>
      </c>
      <c r="T73" s="6">
        <f t="shared" si="32"/>
        <v>4.3333333333333335E-2</v>
      </c>
      <c r="U73" s="6">
        <f t="shared" si="32"/>
        <v>4.6666666666666669E-2</v>
      </c>
      <c r="V73" s="6">
        <f t="shared" si="32"/>
        <v>0.05</v>
      </c>
      <c r="W73" s="6">
        <f t="shared" si="32"/>
        <v>5.3333333333333337E-2</v>
      </c>
      <c r="X73" s="6">
        <f t="shared" si="32"/>
        <v>5.6666666666666671E-2</v>
      </c>
      <c r="Y73" s="6">
        <f t="shared" si="32"/>
        <v>6.0000000000000005E-2</v>
      </c>
      <c r="Z73" s="6">
        <f t="shared" si="32"/>
        <v>6.3333333333333339E-2</v>
      </c>
      <c r="AA73" s="6">
        <f t="shared" si="32"/>
        <v>6.6666666666666666E-2</v>
      </c>
      <c r="AB73" s="6">
        <f t="shared" si="32"/>
        <v>7.0000000000000007E-2</v>
      </c>
      <c r="AC73" s="6">
        <f t="shared" si="32"/>
        <v>7.3333333333333334E-2</v>
      </c>
      <c r="AD73" s="6">
        <f t="shared" si="32"/>
        <v>7.6666666666666675E-2</v>
      </c>
      <c r="AE73" s="6">
        <f t="shared" si="32"/>
        <v>0.08</v>
      </c>
      <c r="AF73" s="6">
        <f t="shared" si="32"/>
        <v>8.3333333333333343E-2</v>
      </c>
      <c r="AG73" s="6">
        <f t="shared" si="32"/>
        <v>8.666666666666667E-2</v>
      </c>
      <c r="AH73" s="6">
        <f t="shared" si="32"/>
        <v>9.0000000000000011E-2</v>
      </c>
      <c r="AI73" s="6">
        <f t="shared" si="32"/>
        <v>9.3333333333333338E-2</v>
      </c>
      <c r="AJ73" s="6">
        <f t="shared" si="32"/>
        <v>9.6666666666666679E-2</v>
      </c>
      <c r="AK73" s="6">
        <f>$B$5*(AK72-1)</f>
        <v>0.1</v>
      </c>
      <c r="AL73" s="4"/>
      <c r="AM73" s="14"/>
      <c r="AP73" s="102"/>
      <c r="AQ73" s="101"/>
      <c r="AR73" s="92" t="s">
        <v>21</v>
      </c>
      <c r="AS73" s="93"/>
      <c r="AT73" s="5">
        <v>0</v>
      </c>
      <c r="AU73" s="6">
        <f>$B$5*(AU72-1)</f>
        <v>3.3333333333333335E-3</v>
      </c>
      <c r="AV73" s="6">
        <f t="shared" ref="AV73:BW73" si="33">$B$5*(AV72-1)</f>
        <v>6.6666666666666671E-3</v>
      </c>
      <c r="AW73" s="6">
        <f t="shared" si="33"/>
        <v>0.01</v>
      </c>
      <c r="AX73" s="6">
        <f t="shared" si="33"/>
        <v>1.3333333333333334E-2</v>
      </c>
      <c r="AY73" s="6">
        <f t="shared" si="33"/>
        <v>1.6666666666666666E-2</v>
      </c>
      <c r="AZ73" s="6">
        <f t="shared" si="33"/>
        <v>0.02</v>
      </c>
      <c r="BA73" s="6">
        <f t="shared" si="33"/>
        <v>2.3333333333333334E-2</v>
      </c>
      <c r="BB73" s="6">
        <f t="shared" si="33"/>
        <v>2.6666666666666668E-2</v>
      </c>
      <c r="BC73" s="6">
        <f t="shared" si="33"/>
        <v>3.0000000000000002E-2</v>
      </c>
      <c r="BD73" s="6">
        <f t="shared" si="33"/>
        <v>3.3333333333333333E-2</v>
      </c>
      <c r="BE73" s="6">
        <f t="shared" si="33"/>
        <v>3.6666666666666667E-2</v>
      </c>
      <c r="BF73" s="6">
        <f t="shared" si="33"/>
        <v>0.04</v>
      </c>
      <c r="BG73" s="6">
        <f t="shared" si="33"/>
        <v>4.3333333333333335E-2</v>
      </c>
      <c r="BH73" s="6">
        <f t="shared" si="33"/>
        <v>4.6666666666666669E-2</v>
      </c>
      <c r="BI73" s="6">
        <f t="shared" si="33"/>
        <v>0.05</v>
      </c>
      <c r="BJ73" s="6">
        <f t="shared" si="33"/>
        <v>5.3333333333333337E-2</v>
      </c>
      <c r="BK73" s="6">
        <f t="shared" si="33"/>
        <v>5.6666666666666671E-2</v>
      </c>
      <c r="BL73" s="6">
        <f t="shared" si="33"/>
        <v>6.0000000000000005E-2</v>
      </c>
      <c r="BM73" s="6">
        <f t="shared" si="33"/>
        <v>6.3333333333333339E-2</v>
      </c>
      <c r="BN73" s="6">
        <f t="shared" si="33"/>
        <v>6.6666666666666666E-2</v>
      </c>
      <c r="BO73" s="6">
        <f t="shared" si="33"/>
        <v>7.0000000000000007E-2</v>
      </c>
      <c r="BP73" s="6">
        <f t="shared" si="33"/>
        <v>7.3333333333333334E-2</v>
      </c>
      <c r="BQ73" s="6">
        <f t="shared" si="33"/>
        <v>7.6666666666666675E-2</v>
      </c>
      <c r="BR73" s="6">
        <f t="shared" si="33"/>
        <v>0.08</v>
      </c>
      <c r="BS73" s="6">
        <f t="shared" si="33"/>
        <v>8.3333333333333343E-2</v>
      </c>
      <c r="BT73" s="6">
        <f t="shared" si="33"/>
        <v>8.666666666666667E-2</v>
      </c>
      <c r="BU73" s="6">
        <f t="shared" si="33"/>
        <v>9.0000000000000011E-2</v>
      </c>
      <c r="BV73" s="6">
        <f t="shared" si="33"/>
        <v>9.3333333333333338E-2</v>
      </c>
      <c r="BW73" s="6">
        <f t="shared" si="33"/>
        <v>9.6666666666666679E-2</v>
      </c>
      <c r="BX73" s="6">
        <f>$B$5*(BX72-1)</f>
        <v>0.1</v>
      </c>
      <c r="BY73" s="4"/>
      <c r="BZ73" s="14"/>
      <c r="CC73" s="94"/>
      <c r="CD73" s="95"/>
      <c r="CE73" s="92" t="s">
        <v>21</v>
      </c>
      <c r="CF73" s="93"/>
      <c r="CG73" s="5">
        <v>0</v>
      </c>
      <c r="CH73" s="6">
        <f>$B$5*(CH72-1)</f>
        <v>3.3333333333333335E-3</v>
      </c>
      <c r="CI73" s="6">
        <f t="shared" ref="CI73:DJ73" si="34">$B$5*(CI72-1)</f>
        <v>6.6666666666666671E-3</v>
      </c>
      <c r="CJ73" s="6">
        <f t="shared" si="34"/>
        <v>0.01</v>
      </c>
      <c r="CK73" s="6">
        <f t="shared" si="34"/>
        <v>1.3333333333333334E-2</v>
      </c>
      <c r="CL73" s="6">
        <f t="shared" si="34"/>
        <v>1.6666666666666666E-2</v>
      </c>
      <c r="CM73" s="6">
        <f t="shared" si="34"/>
        <v>0.02</v>
      </c>
      <c r="CN73" s="6">
        <f t="shared" si="34"/>
        <v>2.3333333333333334E-2</v>
      </c>
      <c r="CO73" s="6">
        <f t="shared" si="34"/>
        <v>2.6666666666666668E-2</v>
      </c>
      <c r="CP73" s="6">
        <f t="shared" si="34"/>
        <v>3.0000000000000002E-2</v>
      </c>
      <c r="CQ73" s="6">
        <f t="shared" si="34"/>
        <v>3.3333333333333333E-2</v>
      </c>
      <c r="CR73" s="6">
        <f t="shared" si="34"/>
        <v>3.6666666666666667E-2</v>
      </c>
      <c r="CS73" s="6">
        <f t="shared" si="34"/>
        <v>0.04</v>
      </c>
      <c r="CT73" s="6">
        <f t="shared" si="34"/>
        <v>4.3333333333333335E-2</v>
      </c>
      <c r="CU73" s="6">
        <f t="shared" si="34"/>
        <v>4.6666666666666669E-2</v>
      </c>
      <c r="CV73" s="6">
        <f t="shared" si="34"/>
        <v>0.05</v>
      </c>
      <c r="CW73" s="6">
        <f t="shared" si="34"/>
        <v>5.3333333333333337E-2</v>
      </c>
      <c r="CX73" s="6">
        <f t="shared" si="34"/>
        <v>5.6666666666666671E-2</v>
      </c>
      <c r="CY73" s="6">
        <f t="shared" si="34"/>
        <v>6.0000000000000005E-2</v>
      </c>
      <c r="CZ73" s="6">
        <f t="shared" si="34"/>
        <v>6.3333333333333339E-2</v>
      </c>
      <c r="DA73" s="6">
        <f t="shared" si="34"/>
        <v>6.6666666666666666E-2</v>
      </c>
      <c r="DB73" s="6">
        <f t="shared" si="34"/>
        <v>7.0000000000000007E-2</v>
      </c>
      <c r="DC73" s="6">
        <f t="shared" si="34"/>
        <v>7.3333333333333334E-2</v>
      </c>
      <c r="DD73" s="6">
        <f t="shared" si="34"/>
        <v>7.6666666666666675E-2</v>
      </c>
      <c r="DE73" s="6">
        <f t="shared" si="34"/>
        <v>0.08</v>
      </c>
      <c r="DF73" s="6">
        <f t="shared" si="34"/>
        <v>8.3333333333333343E-2</v>
      </c>
      <c r="DG73" s="6">
        <f t="shared" si="34"/>
        <v>8.666666666666667E-2</v>
      </c>
      <c r="DH73" s="6">
        <f t="shared" si="34"/>
        <v>9.0000000000000011E-2</v>
      </c>
      <c r="DI73" s="6">
        <f t="shared" si="34"/>
        <v>9.3333333333333338E-2</v>
      </c>
      <c r="DJ73" s="6">
        <f t="shared" si="34"/>
        <v>9.6666666666666679E-2</v>
      </c>
      <c r="DK73" s="6">
        <f>$B$5*(DK72-1)</f>
        <v>0.1</v>
      </c>
      <c r="DL73" s="4"/>
      <c r="DM73" s="14"/>
      <c r="DQ73" s="94"/>
      <c r="DR73" s="95"/>
      <c r="DS73" s="92" t="s">
        <v>21</v>
      </c>
      <c r="DT73" s="93"/>
      <c r="DU73" s="5">
        <v>0</v>
      </c>
      <c r="DV73" s="6">
        <f>$B$5*(DV72-1)</f>
        <v>3.3333333333333335E-3</v>
      </c>
      <c r="DW73" s="6">
        <f t="shared" ref="DW73:EX73" si="35">$B$5*(DW72-1)</f>
        <v>6.6666666666666671E-3</v>
      </c>
      <c r="DX73" s="6">
        <f t="shared" si="35"/>
        <v>0.01</v>
      </c>
      <c r="DY73" s="6">
        <f t="shared" si="35"/>
        <v>1.3333333333333334E-2</v>
      </c>
      <c r="DZ73" s="6">
        <f t="shared" si="35"/>
        <v>1.6666666666666666E-2</v>
      </c>
      <c r="EA73" s="6">
        <f t="shared" si="35"/>
        <v>0.02</v>
      </c>
      <c r="EB73" s="6">
        <f t="shared" si="35"/>
        <v>2.3333333333333334E-2</v>
      </c>
      <c r="EC73" s="6">
        <f t="shared" si="35"/>
        <v>2.6666666666666668E-2</v>
      </c>
      <c r="ED73" s="6">
        <f t="shared" si="35"/>
        <v>3.0000000000000002E-2</v>
      </c>
      <c r="EE73" s="6">
        <f t="shared" si="35"/>
        <v>3.3333333333333333E-2</v>
      </c>
      <c r="EF73" s="6">
        <f t="shared" si="35"/>
        <v>3.6666666666666667E-2</v>
      </c>
      <c r="EG73" s="6">
        <f t="shared" si="35"/>
        <v>0.04</v>
      </c>
      <c r="EH73" s="6">
        <f t="shared" si="35"/>
        <v>4.3333333333333335E-2</v>
      </c>
      <c r="EI73" s="6">
        <f t="shared" si="35"/>
        <v>4.6666666666666669E-2</v>
      </c>
      <c r="EJ73" s="6">
        <f t="shared" si="35"/>
        <v>0.05</v>
      </c>
      <c r="EK73" s="6">
        <f t="shared" si="35"/>
        <v>5.3333333333333337E-2</v>
      </c>
      <c r="EL73" s="6">
        <f t="shared" si="35"/>
        <v>5.6666666666666671E-2</v>
      </c>
      <c r="EM73" s="6">
        <f t="shared" si="35"/>
        <v>6.0000000000000005E-2</v>
      </c>
      <c r="EN73" s="6">
        <f t="shared" si="35"/>
        <v>6.3333333333333339E-2</v>
      </c>
      <c r="EO73" s="6">
        <f t="shared" si="35"/>
        <v>6.6666666666666666E-2</v>
      </c>
      <c r="EP73" s="6">
        <f t="shared" si="35"/>
        <v>7.0000000000000007E-2</v>
      </c>
      <c r="EQ73" s="6">
        <f t="shared" si="35"/>
        <v>7.3333333333333334E-2</v>
      </c>
      <c r="ER73" s="6">
        <f t="shared" si="35"/>
        <v>7.6666666666666675E-2</v>
      </c>
      <c r="ES73" s="6">
        <f t="shared" si="35"/>
        <v>0.08</v>
      </c>
      <c r="ET73" s="6">
        <f t="shared" si="35"/>
        <v>8.3333333333333343E-2</v>
      </c>
      <c r="EU73" s="6">
        <f t="shared" si="35"/>
        <v>8.666666666666667E-2</v>
      </c>
      <c r="EV73" s="6">
        <f t="shared" si="35"/>
        <v>9.0000000000000011E-2</v>
      </c>
      <c r="EW73" s="6">
        <f t="shared" si="35"/>
        <v>9.3333333333333338E-2</v>
      </c>
      <c r="EX73" s="6">
        <f t="shared" si="35"/>
        <v>9.6666666666666679E-2</v>
      </c>
      <c r="EY73" s="6">
        <f>$B$5*(EY72-1)</f>
        <v>0.1</v>
      </c>
      <c r="EZ73" s="4"/>
      <c r="FA73" s="14"/>
    </row>
    <row r="74" spans="3:157" ht="15" customHeight="1" x14ac:dyDescent="0.3">
      <c r="C74" s="94"/>
      <c r="D74" s="95"/>
      <c r="E74" s="5">
        <v>55</v>
      </c>
      <c r="F74" s="6">
        <f t="shared" ref="F74:F97" si="36">$B$6*(E74-1)</f>
        <v>0.5</v>
      </c>
      <c r="G74" s="3">
        <f t="shared" ref="G74:O83" si="37">$R$2</f>
        <v>600</v>
      </c>
      <c r="H74" s="3">
        <f t="shared" si="37"/>
        <v>600</v>
      </c>
      <c r="I74" s="3">
        <f t="shared" si="37"/>
        <v>600</v>
      </c>
      <c r="J74" s="3">
        <f t="shared" si="37"/>
        <v>600</v>
      </c>
      <c r="K74" s="3">
        <f t="shared" si="37"/>
        <v>600</v>
      </c>
      <c r="L74" s="3">
        <f t="shared" si="37"/>
        <v>600</v>
      </c>
      <c r="M74" s="3">
        <f t="shared" si="37"/>
        <v>600</v>
      </c>
      <c r="N74" s="3">
        <f t="shared" si="37"/>
        <v>600</v>
      </c>
      <c r="O74" s="3">
        <f t="shared" si="37"/>
        <v>600</v>
      </c>
      <c r="P74" s="3">
        <f t="shared" ref="P74:AB74" si="38">$R$4</f>
        <v>950</v>
      </c>
      <c r="Q74" s="3">
        <f t="shared" si="38"/>
        <v>950</v>
      </c>
      <c r="R74" s="3">
        <f t="shared" si="38"/>
        <v>950</v>
      </c>
      <c r="S74" s="3">
        <f t="shared" si="38"/>
        <v>950</v>
      </c>
      <c r="T74" s="3">
        <f t="shared" si="38"/>
        <v>950</v>
      </c>
      <c r="U74" s="3">
        <f t="shared" si="38"/>
        <v>950</v>
      </c>
      <c r="V74" s="3">
        <f t="shared" si="38"/>
        <v>950</v>
      </c>
      <c r="W74" s="3">
        <f t="shared" si="38"/>
        <v>950</v>
      </c>
      <c r="X74" s="3">
        <f t="shared" si="38"/>
        <v>950</v>
      </c>
      <c r="Y74" s="3">
        <f t="shared" si="38"/>
        <v>950</v>
      </c>
      <c r="Z74" s="3">
        <f t="shared" si="38"/>
        <v>950</v>
      </c>
      <c r="AA74" s="3">
        <f t="shared" si="38"/>
        <v>950</v>
      </c>
      <c r="AB74" s="3">
        <f t="shared" si="38"/>
        <v>950</v>
      </c>
      <c r="AC74" s="3">
        <f t="shared" ref="AC74:AK83" si="39">$R$3</f>
        <v>650</v>
      </c>
      <c r="AD74" s="3">
        <f t="shared" si="39"/>
        <v>650</v>
      </c>
      <c r="AE74" s="3">
        <f t="shared" si="39"/>
        <v>650</v>
      </c>
      <c r="AF74" s="3">
        <f t="shared" si="39"/>
        <v>650</v>
      </c>
      <c r="AG74" s="3">
        <f t="shared" si="39"/>
        <v>650</v>
      </c>
      <c r="AH74" s="3">
        <f t="shared" si="39"/>
        <v>650</v>
      </c>
      <c r="AI74" s="3">
        <f t="shared" si="39"/>
        <v>650</v>
      </c>
      <c r="AJ74" s="3">
        <f t="shared" si="39"/>
        <v>650</v>
      </c>
      <c r="AK74" s="3">
        <f t="shared" si="39"/>
        <v>650</v>
      </c>
      <c r="AL74" s="5">
        <v>55</v>
      </c>
      <c r="AM74" s="6">
        <f t="shared" ref="AM74:AM97" si="40">$B$6*(AL74-1)</f>
        <v>0.5</v>
      </c>
      <c r="AP74" s="102"/>
      <c r="AQ74" s="101"/>
      <c r="AR74" s="5">
        <v>55</v>
      </c>
      <c r="AS74" s="6">
        <f t="shared" ref="AS74:AS97" si="41">$B$6*(AR74-1)</f>
        <v>0.5</v>
      </c>
      <c r="AT74" s="3">
        <f t="shared" ref="AT74:BB83" si="42">$R$2</f>
        <v>600</v>
      </c>
      <c r="AU74" s="3">
        <f t="shared" si="42"/>
        <v>600</v>
      </c>
      <c r="AV74" s="3">
        <f t="shared" si="42"/>
        <v>600</v>
      </c>
      <c r="AW74" s="3">
        <f t="shared" si="42"/>
        <v>600</v>
      </c>
      <c r="AX74" s="3">
        <f t="shared" si="42"/>
        <v>600</v>
      </c>
      <c r="AY74" s="3">
        <f t="shared" si="42"/>
        <v>600</v>
      </c>
      <c r="AZ74" s="3">
        <f t="shared" si="42"/>
        <v>600</v>
      </c>
      <c r="BA74" s="3">
        <f t="shared" si="42"/>
        <v>600</v>
      </c>
      <c r="BB74" s="3">
        <f t="shared" si="42"/>
        <v>600</v>
      </c>
      <c r="BC74" s="67">
        <f t="shared" ref="BC74:BO74" si="43">$R$4</f>
        <v>950</v>
      </c>
      <c r="BD74" s="3">
        <f t="shared" si="43"/>
        <v>950</v>
      </c>
      <c r="BE74" s="3">
        <f t="shared" si="43"/>
        <v>950</v>
      </c>
      <c r="BF74" s="3">
        <f t="shared" si="43"/>
        <v>950</v>
      </c>
      <c r="BG74" s="3">
        <f t="shared" si="43"/>
        <v>950</v>
      </c>
      <c r="BH74" s="3">
        <f t="shared" si="43"/>
        <v>950</v>
      </c>
      <c r="BI74" s="3">
        <f t="shared" si="43"/>
        <v>950</v>
      </c>
      <c r="BJ74" s="3">
        <f t="shared" si="43"/>
        <v>950</v>
      </c>
      <c r="BK74" s="3">
        <f t="shared" si="43"/>
        <v>950</v>
      </c>
      <c r="BL74" s="3">
        <f t="shared" si="43"/>
        <v>950</v>
      </c>
      <c r="BM74" s="3">
        <f t="shared" si="43"/>
        <v>950</v>
      </c>
      <c r="BN74" s="3">
        <f t="shared" si="43"/>
        <v>950</v>
      </c>
      <c r="BO74" s="67">
        <f t="shared" si="43"/>
        <v>950</v>
      </c>
      <c r="BP74" s="3">
        <f t="shared" ref="BP74:BX83" si="44">$R$3</f>
        <v>650</v>
      </c>
      <c r="BQ74" s="3">
        <f t="shared" si="44"/>
        <v>650</v>
      </c>
      <c r="BR74" s="3">
        <f t="shared" si="44"/>
        <v>650</v>
      </c>
      <c r="BS74" s="3">
        <f t="shared" si="44"/>
        <v>650</v>
      </c>
      <c r="BT74" s="3">
        <f t="shared" si="44"/>
        <v>650</v>
      </c>
      <c r="BU74" s="3">
        <f t="shared" si="44"/>
        <v>650</v>
      </c>
      <c r="BV74" s="3">
        <f t="shared" si="44"/>
        <v>650</v>
      </c>
      <c r="BW74" s="3">
        <f t="shared" si="44"/>
        <v>650</v>
      </c>
      <c r="BX74" s="3">
        <f t="shared" si="44"/>
        <v>650</v>
      </c>
      <c r="BY74" s="5">
        <v>55</v>
      </c>
      <c r="BZ74" s="6">
        <f t="shared" ref="BZ74:BZ97" si="45">$B$6*(BY74-1)</f>
        <v>0.5</v>
      </c>
      <c r="CC74" s="94"/>
      <c r="CD74" s="95"/>
      <c r="CE74" s="5">
        <v>55</v>
      </c>
      <c r="CF74" s="6">
        <f t="shared" ref="CF74:CF97" si="46">$B$6*(CE74-1)</f>
        <v>0.5</v>
      </c>
      <c r="CG74" s="3">
        <f t="shared" ref="CG74:CO83" si="47">$R$2</f>
        <v>600</v>
      </c>
      <c r="CH74" s="3">
        <f t="shared" si="47"/>
        <v>600</v>
      </c>
      <c r="CI74" s="3">
        <f t="shared" si="47"/>
        <v>600</v>
      </c>
      <c r="CJ74" s="3">
        <f t="shared" si="47"/>
        <v>600</v>
      </c>
      <c r="CK74" s="3">
        <f t="shared" si="47"/>
        <v>600</v>
      </c>
      <c r="CL74" s="3">
        <f t="shared" si="47"/>
        <v>600</v>
      </c>
      <c r="CM74" s="3">
        <f t="shared" si="47"/>
        <v>600</v>
      </c>
      <c r="CN74" s="3">
        <f t="shared" si="47"/>
        <v>600</v>
      </c>
      <c r="CO74" s="3">
        <f t="shared" si="47"/>
        <v>600</v>
      </c>
      <c r="CP74" s="3">
        <f t="shared" ref="CP74:DB74" si="48">$R$4</f>
        <v>950</v>
      </c>
      <c r="CQ74" s="3">
        <f t="shared" si="48"/>
        <v>950</v>
      </c>
      <c r="CR74" s="3">
        <f t="shared" si="48"/>
        <v>950</v>
      </c>
      <c r="CS74" s="3">
        <f t="shared" si="48"/>
        <v>950</v>
      </c>
      <c r="CT74" s="3">
        <f t="shared" si="48"/>
        <v>950</v>
      </c>
      <c r="CU74" s="3">
        <f t="shared" si="48"/>
        <v>950</v>
      </c>
      <c r="CV74" s="3">
        <f t="shared" si="48"/>
        <v>950</v>
      </c>
      <c r="CW74" s="3">
        <f t="shared" si="48"/>
        <v>950</v>
      </c>
      <c r="CX74" s="3">
        <f t="shared" si="48"/>
        <v>950</v>
      </c>
      <c r="CY74" s="3">
        <f t="shared" si="48"/>
        <v>950</v>
      </c>
      <c r="CZ74" s="3">
        <f t="shared" si="48"/>
        <v>950</v>
      </c>
      <c r="DA74" s="3">
        <f t="shared" si="48"/>
        <v>950</v>
      </c>
      <c r="DB74" s="3">
        <f t="shared" si="48"/>
        <v>950</v>
      </c>
      <c r="DC74" s="3">
        <f t="shared" ref="DC74:DK83" si="49">$R$3</f>
        <v>650</v>
      </c>
      <c r="DD74" s="3">
        <f t="shared" si="49"/>
        <v>650</v>
      </c>
      <c r="DE74" s="3">
        <f t="shared" si="49"/>
        <v>650</v>
      </c>
      <c r="DF74" s="3">
        <f t="shared" si="49"/>
        <v>650</v>
      </c>
      <c r="DG74" s="3">
        <f t="shared" si="49"/>
        <v>650</v>
      </c>
      <c r="DH74" s="3">
        <f t="shared" si="49"/>
        <v>650</v>
      </c>
      <c r="DI74" s="3">
        <f t="shared" si="49"/>
        <v>650</v>
      </c>
      <c r="DJ74" s="3">
        <f t="shared" si="49"/>
        <v>650</v>
      </c>
      <c r="DK74" s="3">
        <f t="shared" si="49"/>
        <v>650</v>
      </c>
      <c r="DL74" s="5">
        <v>55</v>
      </c>
      <c r="DM74" s="6">
        <f t="shared" ref="DM74:DM97" si="50">$B$6*(DL74-1)</f>
        <v>0.5</v>
      </c>
      <c r="DQ74" s="94"/>
      <c r="DR74" s="95"/>
      <c r="DS74" s="5">
        <v>55</v>
      </c>
      <c r="DT74" s="6">
        <f t="shared" ref="DT74:DT97" si="51">$B$6*(DS74-1)</f>
        <v>0.5</v>
      </c>
      <c r="DU74" s="3">
        <f t="shared" ref="DU74:EC83" si="52">$R$2</f>
        <v>600</v>
      </c>
      <c r="DV74" s="3">
        <f t="shared" si="52"/>
        <v>600</v>
      </c>
      <c r="DW74" s="3">
        <f t="shared" si="52"/>
        <v>600</v>
      </c>
      <c r="DX74" s="3">
        <f t="shared" si="52"/>
        <v>600</v>
      </c>
      <c r="DY74" s="3">
        <f t="shared" si="52"/>
        <v>600</v>
      </c>
      <c r="DZ74" s="3">
        <f t="shared" si="52"/>
        <v>600</v>
      </c>
      <c r="EA74" s="3">
        <f t="shared" si="52"/>
        <v>600</v>
      </c>
      <c r="EB74" s="3">
        <f t="shared" si="52"/>
        <v>600</v>
      </c>
      <c r="EC74" s="3">
        <f t="shared" si="52"/>
        <v>600</v>
      </c>
      <c r="ED74" s="3">
        <f t="shared" ref="ED74:EP74" si="53">$R$4</f>
        <v>950</v>
      </c>
      <c r="EE74" s="3">
        <f t="shared" si="53"/>
        <v>950</v>
      </c>
      <c r="EF74" s="3">
        <f t="shared" si="53"/>
        <v>950</v>
      </c>
      <c r="EG74" s="3">
        <f t="shared" si="53"/>
        <v>950</v>
      </c>
      <c r="EH74" s="3">
        <f t="shared" si="53"/>
        <v>950</v>
      </c>
      <c r="EI74" s="3">
        <f t="shared" si="53"/>
        <v>950</v>
      </c>
      <c r="EJ74" s="3">
        <f t="shared" si="53"/>
        <v>950</v>
      </c>
      <c r="EK74" s="3">
        <f t="shared" si="53"/>
        <v>950</v>
      </c>
      <c r="EL74" s="3">
        <f t="shared" si="53"/>
        <v>950</v>
      </c>
      <c r="EM74" s="3">
        <f t="shared" si="53"/>
        <v>950</v>
      </c>
      <c r="EN74" s="3">
        <f t="shared" si="53"/>
        <v>950</v>
      </c>
      <c r="EO74" s="3">
        <f t="shared" si="53"/>
        <v>950</v>
      </c>
      <c r="EP74" s="3">
        <f t="shared" si="53"/>
        <v>950</v>
      </c>
      <c r="EQ74" s="3">
        <f t="shared" ref="EQ74:EY83" si="54">$R$3</f>
        <v>650</v>
      </c>
      <c r="ER74" s="3">
        <f t="shared" si="54"/>
        <v>650</v>
      </c>
      <c r="ES74" s="3">
        <f t="shared" si="54"/>
        <v>650</v>
      </c>
      <c r="ET74" s="3">
        <f t="shared" si="54"/>
        <v>650</v>
      </c>
      <c r="EU74" s="3">
        <f t="shared" si="54"/>
        <v>650</v>
      </c>
      <c r="EV74" s="3">
        <f t="shared" si="54"/>
        <v>650</v>
      </c>
      <c r="EW74" s="3">
        <f t="shared" si="54"/>
        <v>650</v>
      </c>
      <c r="EX74" s="3">
        <f t="shared" si="54"/>
        <v>650</v>
      </c>
      <c r="EY74" s="3">
        <f t="shared" si="54"/>
        <v>650</v>
      </c>
      <c r="EZ74" s="5">
        <v>55</v>
      </c>
      <c r="FA74" s="6">
        <f t="shared" ref="FA74:FA97" si="55">$B$6*(EZ74-1)</f>
        <v>0.5</v>
      </c>
    </row>
    <row r="75" spans="3:157" ht="15" customHeight="1" x14ac:dyDescent="0.3">
      <c r="C75" s="94"/>
      <c r="D75" s="95"/>
      <c r="E75" s="5">
        <v>54</v>
      </c>
      <c r="F75" s="6">
        <f t="shared" si="36"/>
        <v>0.4907407407407407</v>
      </c>
      <c r="G75" s="3">
        <f t="shared" si="37"/>
        <v>600</v>
      </c>
      <c r="H75" s="3">
        <f t="shared" si="37"/>
        <v>600</v>
      </c>
      <c r="I75" s="3">
        <f t="shared" si="37"/>
        <v>600</v>
      </c>
      <c r="J75" s="3">
        <f t="shared" si="37"/>
        <v>600</v>
      </c>
      <c r="K75" s="3">
        <f t="shared" si="37"/>
        <v>600</v>
      </c>
      <c r="L75" s="3">
        <f t="shared" si="37"/>
        <v>600</v>
      </c>
      <c r="M75" s="3">
        <f t="shared" si="37"/>
        <v>600</v>
      </c>
      <c r="N75" s="3">
        <f t="shared" si="37"/>
        <v>600</v>
      </c>
      <c r="O75" s="3">
        <f t="shared" si="37"/>
        <v>600</v>
      </c>
      <c r="P75" s="3">
        <f>($F$5*$B$5*O12+$F$4*Q12)/($F$4+$F$5*$B$5)</f>
        <v>855.12016336604927</v>
      </c>
      <c r="Q75" s="3">
        <f>CQ75*R75+EE75</f>
        <v>866.2910331655446</v>
      </c>
      <c r="R75" s="3">
        <f t="shared" ref="R75:AA75" si="56">CR75*S75+EF75</f>
        <v>874.32569206176788</v>
      </c>
      <c r="S75" s="3">
        <f t="shared" si="56"/>
        <v>880.0724790024766</v>
      </c>
      <c r="T75" s="3">
        <f t="shared" si="56"/>
        <v>884.08714362632236</v>
      </c>
      <c r="U75" s="3">
        <f t="shared" si="56"/>
        <v>886.72548151983688</v>
      </c>
      <c r="V75" s="3">
        <f t="shared" si="56"/>
        <v>888.20021500489986</v>
      </c>
      <c r="W75" s="3">
        <f t="shared" si="56"/>
        <v>888.61366223884954</v>
      </c>
      <c r="X75" s="3">
        <f t="shared" si="56"/>
        <v>887.97263202079967</v>
      </c>
      <c r="Y75" s="3">
        <f t="shared" si="56"/>
        <v>886.18839923747453</v>
      </c>
      <c r="Z75" s="3">
        <f t="shared" si="56"/>
        <v>883.06163792552707</v>
      </c>
      <c r="AA75" s="3">
        <f t="shared" si="56"/>
        <v>878.24919387196974</v>
      </c>
      <c r="AB75" s="3">
        <f>($F$6*$B$5*AC12+$F$4*AA12)/($F$4+$F$6*$B$5)</f>
        <v>871.20576507621206</v>
      </c>
      <c r="AC75" s="3">
        <f t="shared" si="39"/>
        <v>650</v>
      </c>
      <c r="AD75" s="3">
        <f t="shared" si="39"/>
        <v>650</v>
      </c>
      <c r="AE75" s="3">
        <f t="shared" si="39"/>
        <v>650</v>
      </c>
      <c r="AF75" s="3">
        <f t="shared" si="39"/>
        <v>650</v>
      </c>
      <c r="AG75" s="3">
        <f t="shared" si="39"/>
        <v>650</v>
      </c>
      <c r="AH75" s="3">
        <f t="shared" si="39"/>
        <v>650</v>
      </c>
      <c r="AI75" s="3">
        <f t="shared" si="39"/>
        <v>650</v>
      </c>
      <c r="AJ75" s="3">
        <f t="shared" si="39"/>
        <v>650</v>
      </c>
      <c r="AK75" s="3">
        <f t="shared" si="39"/>
        <v>650</v>
      </c>
      <c r="AL75" s="5">
        <v>54</v>
      </c>
      <c r="AM75" s="6">
        <f t="shared" si="40"/>
        <v>0.4907407407407407</v>
      </c>
      <c r="AP75" s="102"/>
      <c r="AQ75" s="101"/>
      <c r="AR75" s="5">
        <v>54</v>
      </c>
      <c r="AS75" s="6">
        <f t="shared" si="41"/>
        <v>0.4907407407407407</v>
      </c>
      <c r="AT75" s="3">
        <f t="shared" si="42"/>
        <v>600</v>
      </c>
      <c r="AU75" s="3">
        <f t="shared" si="42"/>
        <v>600</v>
      </c>
      <c r="AV75" s="3">
        <f t="shared" si="42"/>
        <v>600</v>
      </c>
      <c r="AW75" s="3">
        <f t="shared" si="42"/>
        <v>600</v>
      </c>
      <c r="AX75" s="3">
        <f t="shared" si="42"/>
        <v>600</v>
      </c>
      <c r="AY75" s="3">
        <f t="shared" si="42"/>
        <v>600</v>
      </c>
      <c r="AZ75" s="3">
        <f t="shared" si="42"/>
        <v>600</v>
      </c>
      <c r="BA75" s="3">
        <f t="shared" si="42"/>
        <v>600</v>
      </c>
      <c r="BB75" s="66">
        <f t="shared" si="42"/>
        <v>600</v>
      </c>
      <c r="BC75" s="69"/>
      <c r="BD75" s="23">
        <f>-($F$3*$F$2)/$B$8*Q12</f>
        <v>-3121236140.1375227</v>
      </c>
      <c r="BE75" s="3">
        <f t="shared" ref="BE75:BN75" si="57">-($F$3*$F$2)/$B$8*R12</f>
        <v>-3146552373.0134525</v>
      </c>
      <c r="BF75" s="3">
        <f t="shared" si="57"/>
        <v>-3164871041.0526981</v>
      </c>
      <c r="BG75" s="3">
        <f t="shared" si="57"/>
        <v>-3177802663.9948153</v>
      </c>
      <c r="BH75" s="3">
        <f t="shared" si="57"/>
        <v>-3186388349.9441648</v>
      </c>
      <c r="BI75" s="3">
        <f t="shared" si="57"/>
        <v>-3191256096.51719</v>
      </c>
      <c r="BJ75" s="3">
        <f t="shared" si="57"/>
        <v>-3192711356.7642698</v>
      </c>
      <c r="BK75" s="3">
        <f t="shared" si="57"/>
        <v>-3190778662.3108702</v>
      </c>
      <c r="BL75" s="3">
        <f t="shared" si="57"/>
        <v>-3185202044.5725536</v>
      </c>
      <c r="BM75" s="3">
        <f t="shared" si="57"/>
        <v>-3175403883.4270568</v>
      </c>
      <c r="BN75" s="66">
        <f t="shared" si="57"/>
        <v>-3160394384.4453378</v>
      </c>
      <c r="BO75" s="69"/>
      <c r="BP75" s="23">
        <f t="shared" si="44"/>
        <v>650</v>
      </c>
      <c r="BQ75" s="3">
        <f t="shared" si="44"/>
        <v>650</v>
      </c>
      <c r="BR75" s="3">
        <f t="shared" si="44"/>
        <v>650</v>
      </c>
      <c r="BS75" s="3">
        <f t="shared" si="44"/>
        <v>650</v>
      </c>
      <c r="BT75" s="3">
        <f t="shared" si="44"/>
        <v>650</v>
      </c>
      <c r="BU75" s="3">
        <f t="shared" si="44"/>
        <v>650</v>
      </c>
      <c r="BV75" s="3">
        <f t="shared" si="44"/>
        <v>650</v>
      </c>
      <c r="BW75" s="3">
        <f t="shared" si="44"/>
        <v>650</v>
      </c>
      <c r="BX75" s="3">
        <f t="shared" si="44"/>
        <v>650</v>
      </c>
      <c r="BY75" s="5">
        <v>54</v>
      </c>
      <c r="BZ75" s="6">
        <f t="shared" si="45"/>
        <v>0.4907407407407407</v>
      </c>
      <c r="CC75" s="94"/>
      <c r="CD75" s="95"/>
      <c r="CE75" s="5">
        <v>54</v>
      </c>
      <c r="CF75" s="6">
        <f t="shared" si="46"/>
        <v>0.4907407407407407</v>
      </c>
      <c r="CG75" s="3">
        <f t="shared" si="47"/>
        <v>600</v>
      </c>
      <c r="CH75" s="3">
        <f t="shared" si="47"/>
        <v>600</v>
      </c>
      <c r="CI75" s="3">
        <f t="shared" si="47"/>
        <v>600</v>
      </c>
      <c r="CJ75" s="3">
        <f t="shared" si="47"/>
        <v>600</v>
      </c>
      <c r="CK75" s="3">
        <f t="shared" si="47"/>
        <v>600</v>
      </c>
      <c r="CL75" s="3">
        <f t="shared" si="47"/>
        <v>600</v>
      </c>
      <c r="CM75" s="3">
        <f t="shared" si="47"/>
        <v>600</v>
      </c>
      <c r="CN75" s="3">
        <f t="shared" si="47"/>
        <v>600</v>
      </c>
      <c r="CO75" s="3">
        <f t="shared" si="47"/>
        <v>600</v>
      </c>
      <c r="CP75" s="3">
        <v>0</v>
      </c>
      <c r="CQ75" s="3">
        <f>$L$2/($L$3-$L$4*CP75)</f>
        <v>0.34883720930232553</v>
      </c>
      <c r="CR75" s="3">
        <f t="shared" ref="CR75:DB75" si="58">$L$2/($L$3-$L$4*CQ75)</f>
        <v>0.39716748768472904</v>
      </c>
      <c r="CS75" s="3">
        <f t="shared" si="58"/>
        <v>0.40494040593779607</v>
      </c>
      <c r="CT75" s="3">
        <f t="shared" si="58"/>
        <v>0.4062190081621499</v>
      </c>
      <c r="CU75" s="3">
        <f t="shared" si="58"/>
        <v>0.40643010492156101</v>
      </c>
      <c r="CV75" s="3">
        <f t="shared" si="58"/>
        <v>0.40646497802255066</v>
      </c>
      <c r="CW75" s="3">
        <f t="shared" si="58"/>
        <v>0.40647073962099717</v>
      </c>
      <c r="CX75" s="3">
        <f t="shared" si="58"/>
        <v>0.40647169154566137</v>
      </c>
      <c r="CY75" s="3">
        <f t="shared" si="58"/>
        <v>0.40647184882198806</v>
      </c>
      <c r="CZ75" s="3">
        <f t="shared" si="58"/>
        <v>0.40647187480708435</v>
      </c>
      <c r="DA75" s="3">
        <f t="shared" si="58"/>
        <v>0.40647187910032606</v>
      </c>
      <c r="DB75" s="3">
        <f t="shared" si="58"/>
        <v>0.40647187980965277</v>
      </c>
      <c r="DC75" s="3">
        <f t="shared" si="49"/>
        <v>650</v>
      </c>
      <c r="DD75" s="3">
        <f t="shared" si="49"/>
        <v>650</v>
      </c>
      <c r="DE75" s="3">
        <f t="shared" si="49"/>
        <v>650</v>
      </c>
      <c r="DF75" s="3">
        <f t="shared" si="49"/>
        <v>650</v>
      </c>
      <c r="DG75" s="3">
        <f t="shared" si="49"/>
        <v>650</v>
      </c>
      <c r="DH75" s="3">
        <f t="shared" si="49"/>
        <v>650</v>
      </c>
      <c r="DI75" s="3">
        <f t="shared" si="49"/>
        <v>650</v>
      </c>
      <c r="DJ75" s="3">
        <f t="shared" si="49"/>
        <v>650</v>
      </c>
      <c r="DK75" s="3">
        <f t="shared" si="49"/>
        <v>650</v>
      </c>
      <c r="DL75" s="5">
        <v>54</v>
      </c>
      <c r="DM75" s="6">
        <f t="shared" si="50"/>
        <v>0.4907407407407407</v>
      </c>
      <c r="DQ75" s="94"/>
      <c r="DR75" s="95"/>
      <c r="DS75" s="5">
        <v>54</v>
      </c>
      <c r="DT75" s="6">
        <f t="shared" si="51"/>
        <v>0.4907407407407407</v>
      </c>
      <c r="DU75" s="3">
        <f t="shared" si="52"/>
        <v>600</v>
      </c>
      <c r="DV75" s="3">
        <f t="shared" si="52"/>
        <v>600</v>
      </c>
      <c r="DW75" s="3">
        <f t="shared" si="52"/>
        <v>600</v>
      </c>
      <c r="DX75" s="3">
        <f t="shared" si="52"/>
        <v>600</v>
      </c>
      <c r="DY75" s="3">
        <f t="shared" si="52"/>
        <v>600</v>
      </c>
      <c r="DZ75" s="3">
        <f t="shared" si="52"/>
        <v>600</v>
      </c>
      <c r="EA75" s="3">
        <f t="shared" si="52"/>
        <v>600</v>
      </c>
      <c r="EB75" s="3">
        <f t="shared" si="52"/>
        <v>600</v>
      </c>
      <c r="EC75" s="3">
        <f t="shared" si="52"/>
        <v>600</v>
      </c>
      <c r="ED75" s="3">
        <f>P75</f>
        <v>855.12016336604927</v>
      </c>
      <c r="EE75" s="3">
        <f>(ED75*$L$4-BD75)/($L$3-$L$4*CP75)</f>
        <v>561.29369872539314</v>
      </c>
      <c r="EF75" s="3">
        <f>(EE75*$L$4-BE75)/($L$3-$L$4*CQ75)</f>
        <v>524.78951659588279</v>
      </c>
      <c r="EG75" s="3">
        <f t="shared" ref="EG75:EP78" si="59">(EF75*$L$4-BF75)/($L$3-$L$4*CR75)</f>
        <v>522.06987217804704</v>
      </c>
      <c r="EH75" s="3">
        <f t="shared" si="59"/>
        <v>523.88239801122938</v>
      </c>
      <c r="EI75" s="3">
        <f t="shared" si="59"/>
        <v>525.73417494404237</v>
      </c>
      <c r="EJ75" s="3">
        <f t="shared" si="59"/>
        <v>527.00988231244764</v>
      </c>
      <c r="EK75" s="3">
        <f t="shared" si="59"/>
        <v>527.67876973815157</v>
      </c>
      <c r="EL75" s="3">
        <f t="shared" si="59"/>
        <v>527.76213435460159</v>
      </c>
      <c r="EM75" s="3">
        <f t="shared" si="59"/>
        <v>527.24870264611252</v>
      </c>
      <c r="EN75" s="3">
        <f t="shared" si="59"/>
        <v>526.07804154457699</v>
      </c>
      <c r="EO75" s="3">
        <f t="shared" si="59"/>
        <v>524.12854945840468</v>
      </c>
      <c r="EP75" s="3">
        <f t="shared" si="59"/>
        <v>213.04351676026431</v>
      </c>
      <c r="EQ75" s="3">
        <f t="shared" si="54"/>
        <v>650</v>
      </c>
      <c r="ER75" s="3">
        <f t="shared" si="54"/>
        <v>650</v>
      </c>
      <c r="ES75" s="3">
        <f t="shared" si="54"/>
        <v>650</v>
      </c>
      <c r="ET75" s="3">
        <f t="shared" si="54"/>
        <v>650</v>
      </c>
      <c r="EU75" s="3">
        <f t="shared" si="54"/>
        <v>650</v>
      </c>
      <c r="EV75" s="3">
        <f t="shared" si="54"/>
        <v>650</v>
      </c>
      <c r="EW75" s="3">
        <f t="shared" si="54"/>
        <v>650</v>
      </c>
      <c r="EX75" s="3">
        <f t="shared" si="54"/>
        <v>650</v>
      </c>
      <c r="EY75" s="3">
        <f t="shared" si="54"/>
        <v>650</v>
      </c>
      <c r="EZ75" s="5">
        <v>54</v>
      </c>
      <c r="FA75" s="6">
        <f t="shared" si="55"/>
        <v>0.4907407407407407</v>
      </c>
    </row>
    <row r="76" spans="3:157" ht="15" customHeight="1" x14ac:dyDescent="0.3">
      <c r="C76" s="94"/>
      <c r="D76" s="95"/>
      <c r="E76" s="5">
        <v>53</v>
      </c>
      <c r="F76" s="6">
        <f t="shared" si="36"/>
        <v>0.48148148148148145</v>
      </c>
      <c r="G76" s="3">
        <f t="shared" si="37"/>
        <v>600</v>
      </c>
      <c r="H76" s="3">
        <f t="shared" si="37"/>
        <v>600</v>
      </c>
      <c r="I76" s="3">
        <f t="shared" si="37"/>
        <v>600</v>
      </c>
      <c r="J76" s="3">
        <f t="shared" si="37"/>
        <v>600</v>
      </c>
      <c r="K76" s="3">
        <f t="shared" si="37"/>
        <v>600</v>
      </c>
      <c r="L76" s="3">
        <f t="shared" si="37"/>
        <v>600</v>
      </c>
      <c r="M76" s="3">
        <f t="shared" si="37"/>
        <v>600</v>
      </c>
      <c r="N76" s="3">
        <f t="shared" si="37"/>
        <v>600</v>
      </c>
      <c r="O76" s="3">
        <f t="shared" si="37"/>
        <v>600</v>
      </c>
      <c r="P76" s="3">
        <f t="shared" ref="P76:P78" si="60">($F$5*$B$5*O13+$F$4*Q13)/($F$4+$F$5*$B$5)</f>
        <v>802.29178391788457</v>
      </c>
      <c r="Q76" s="3">
        <f t="shared" ref="Q76:Q78" si="61">CQ76*R76+EE76</f>
        <v>811.8994695438779</v>
      </c>
      <c r="R76" s="3">
        <f t="shared" ref="R76:R78" si="62">CR76*S76+EF76</f>
        <v>819.6703641000995</v>
      </c>
      <c r="S76" s="3">
        <f t="shared" ref="S76:S78" si="63">CS76*T76+EG76</f>
        <v>825.78221985248081</v>
      </c>
      <c r="T76" s="3">
        <f t="shared" ref="T76:T78" si="64">CT76*U76+EH76</f>
        <v>830.39880709805357</v>
      </c>
      <c r="U76" s="3">
        <f t="shared" ref="U76:U78" si="65">CU76*V76+EI76</f>
        <v>833.65329406771593</v>
      </c>
      <c r="V76" s="3">
        <f t="shared" ref="V76:V78" si="66">CV76*W76+EJ76</f>
        <v>835.64108429347834</v>
      </c>
      <c r="W76" s="3">
        <f t="shared" ref="W76:W78" si="67">CW76*X76+EK76</f>
        <v>836.41758541041406</v>
      </c>
      <c r="X76" s="3">
        <f t="shared" ref="X76:X78" si="68">CX76*Y76+EL76</f>
        <v>835.99827244832204</v>
      </c>
      <c r="Y76" s="3">
        <f t="shared" ref="Y76:Y78" si="69">CY76*Z76+EM76</f>
        <v>834.36008430013806</v>
      </c>
      <c r="Z76" s="3">
        <f t="shared" ref="Z76:Z78" si="70">CZ76*AA76+EN76</f>
        <v>831.44433746938648</v>
      </c>
      <c r="AA76" s="3">
        <f t="shared" ref="AA76:AA78" si="71">DA76*AB76+EO76</f>
        <v>827.16271086630195</v>
      </c>
      <c r="AB76" s="3">
        <f t="shared" ref="AB76:AB78" si="72">($F$6*$B$5*AC13+$F$4*AA13)/($F$4+$F$6*$B$5)</f>
        <v>821.40886547919979</v>
      </c>
      <c r="AC76" s="3">
        <f t="shared" si="39"/>
        <v>650</v>
      </c>
      <c r="AD76" s="3">
        <f t="shared" si="39"/>
        <v>650</v>
      </c>
      <c r="AE76" s="3">
        <f t="shared" si="39"/>
        <v>650</v>
      </c>
      <c r="AF76" s="3">
        <f t="shared" si="39"/>
        <v>650</v>
      </c>
      <c r="AG76" s="3">
        <f t="shared" si="39"/>
        <v>650</v>
      </c>
      <c r="AH76" s="3">
        <f t="shared" si="39"/>
        <v>650</v>
      </c>
      <c r="AI76" s="3">
        <f t="shared" si="39"/>
        <v>650</v>
      </c>
      <c r="AJ76" s="3">
        <f t="shared" si="39"/>
        <v>650</v>
      </c>
      <c r="AK76" s="3">
        <f t="shared" si="39"/>
        <v>650</v>
      </c>
      <c r="AL76" s="5">
        <v>53</v>
      </c>
      <c r="AM76" s="6">
        <f t="shared" si="40"/>
        <v>0.48148148148148145</v>
      </c>
      <c r="AP76" s="102"/>
      <c r="AQ76" s="101"/>
      <c r="AR76" s="5">
        <v>53</v>
      </c>
      <c r="AS76" s="6">
        <f t="shared" si="41"/>
        <v>0.48148148148148145</v>
      </c>
      <c r="AT76" s="3">
        <f t="shared" si="42"/>
        <v>600</v>
      </c>
      <c r="AU76" s="3">
        <f t="shared" si="42"/>
        <v>600</v>
      </c>
      <c r="AV76" s="3">
        <f t="shared" si="42"/>
        <v>600</v>
      </c>
      <c r="AW76" s="3">
        <f t="shared" si="42"/>
        <v>600</v>
      </c>
      <c r="AX76" s="3">
        <f t="shared" si="42"/>
        <v>600</v>
      </c>
      <c r="AY76" s="3">
        <f t="shared" si="42"/>
        <v>600</v>
      </c>
      <c r="AZ76" s="3">
        <f t="shared" si="42"/>
        <v>600</v>
      </c>
      <c r="BA76" s="3">
        <f t="shared" si="42"/>
        <v>600</v>
      </c>
      <c r="BB76" s="66">
        <f t="shared" si="42"/>
        <v>600</v>
      </c>
      <c r="BC76" s="69"/>
      <c r="BD76" s="23">
        <f t="shared" ref="BD76:BD78" si="73">-($F$3*$F$2)/$B$8*Q13</f>
        <v>-2920699611.7522898</v>
      </c>
      <c r="BE76" s="3">
        <f t="shared" ref="BE76:BE78" si="74">-($F$3*$F$2)/$B$8*R13</f>
        <v>-2947845687.0390549</v>
      </c>
      <c r="BF76" s="3">
        <f t="shared" ref="BF76:BF78" si="75">-($F$3*$F$2)/$B$8*S13</f>
        <v>-2969097016.4488888</v>
      </c>
      <c r="BG76" s="3">
        <f t="shared" ref="BG76:BG78" si="76">-($F$3*$F$2)/$B$8*T13</f>
        <v>-2985110015.0100856</v>
      </c>
      <c r="BH76" s="3">
        <f t="shared" ref="BH76:BH78" si="77">-($F$3*$F$2)/$B$8*U13</f>
        <v>-2996392143.6347113</v>
      </c>
      <c r="BI76" s="3">
        <f t="shared" ref="BI76:BI78" si="78">-($F$3*$F$2)/$B$8*V13</f>
        <v>-3003294947.3555427</v>
      </c>
      <c r="BJ76" s="3">
        <f t="shared" ref="BJ76:BJ78" si="79">-($F$3*$F$2)/$B$8*W13</f>
        <v>-3006016966.7397394</v>
      </c>
      <c r="BK76" s="3">
        <f t="shared" ref="BK76:BK78" si="80">-($F$3*$F$2)/$B$8*X13</f>
        <v>-3004607944.8150015</v>
      </c>
      <c r="BL76" s="3">
        <f t="shared" ref="BL76:BL78" si="81">-($F$3*$F$2)/$B$8*Y13</f>
        <v>-2998973075.4147248</v>
      </c>
      <c r="BM76" s="3">
        <f t="shared" ref="BM76:BM78" si="82">-($F$3*$F$2)/$B$8*Z13</f>
        <v>-2988877025.0976167</v>
      </c>
      <c r="BN76" s="66">
        <f t="shared" ref="BN76:BN78" si="83">-($F$3*$F$2)/$B$8*AA13</f>
        <v>-2973954792.3541236</v>
      </c>
      <c r="BO76" s="69"/>
      <c r="BP76" s="23">
        <f t="shared" si="44"/>
        <v>650</v>
      </c>
      <c r="BQ76" s="3">
        <f t="shared" si="44"/>
        <v>650</v>
      </c>
      <c r="BR76" s="3">
        <f t="shared" si="44"/>
        <v>650</v>
      </c>
      <c r="BS76" s="3">
        <f t="shared" si="44"/>
        <v>650</v>
      </c>
      <c r="BT76" s="3">
        <f t="shared" si="44"/>
        <v>650</v>
      </c>
      <c r="BU76" s="3">
        <f t="shared" si="44"/>
        <v>650</v>
      </c>
      <c r="BV76" s="3">
        <f t="shared" si="44"/>
        <v>650</v>
      </c>
      <c r="BW76" s="3">
        <f t="shared" si="44"/>
        <v>650</v>
      </c>
      <c r="BX76" s="3">
        <f t="shared" si="44"/>
        <v>650</v>
      </c>
      <c r="BY76" s="5">
        <v>53</v>
      </c>
      <c r="BZ76" s="6">
        <f t="shared" si="45"/>
        <v>0.48148148148148145</v>
      </c>
      <c r="CC76" s="94"/>
      <c r="CD76" s="95"/>
      <c r="CE76" s="5">
        <v>53</v>
      </c>
      <c r="CF76" s="6">
        <f t="shared" si="46"/>
        <v>0.48148148148148145</v>
      </c>
      <c r="CG76" s="3">
        <f t="shared" si="47"/>
        <v>600</v>
      </c>
      <c r="CH76" s="3">
        <f t="shared" si="47"/>
        <v>600</v>
      </c>
      <c r="CI76" s="3">
        <f t="shared" si="47"/>
        <v>600</v>
      </c>
      <c r="CJ76" s="3">
        <f t="shared" si="47"/>
        <v>600</v>
      </c>
      <c r="CK76" s="3">
        <f t="shared" si="47"/>
        <v>600</v>
      </c>
      <c r="CL76" s="3">
        <f t="shared" si="47"/>
        <v>600</v>
      </c>
      <c r="CM76" s="3">
        <f t="shared" si="47"/>
        <v>600</v>
      </c>
      <c r="CN76" s="3">
        <f t="shared" si="47"/>
        <v>600</v>
      </c>
      <c r="CO76" s="3">
        <f t="shared" si="47"/>
        <v>600</v>
      </c>
      <c r="CP76" s="3">
        <v>0</v>
      </c>
      <c r="CQ76" s="3">
        <f t="shared" ref="CQ76:DB78" si="84">$L$2/($L$3-$L$4*CP76)</f>
        <v>0.34883720930232553</v>
      </c>
      <c r="CR76" s="3">
        <f t="shared" si="84"/>
        <v>0.39716748768472904</v>
      </c>
      <c r="CS76" s="3">
        <f t="shared" si="84"/>
        <v>0.40494040593779607</v>
      </c>
      <c r="CT76" s="3">
        <f t="shared" si="84"/>
        <v>0.4062190081621499</v>
      </c>
      <c r="CU76" s="3">
        <f t="shared" si="84"/>
        <v>0.40643010492156101</v>
      </c>
      <c r="CV76" s="3">
        <f t="shared" si="84"/>
        <v>0.40646497802255066</v>
      </c>
      <c r="CW76" s="3">
        <f t="shared" si="84"/>
        <v>0.40647073962099717</v>
      </c>
      <c r="CX76" s="3">
        <f t="shared" si="84"/>
        <v>0.40647169154566137</v>
      </c>
      <c r="CY76" s="3">
        <f t="shared" si="84"/>
        <v>0.40647184882198806</v>
      </c>
      <c r="CZ76" s="3">
        <f t="shared" si="84"/>
        <v>0.40647187480708435</v>
      </c>
      <c r="DA76" s="3">
        <f t="shared" si="84"/>
        <v>0.40647187910032606</v>
      </c>
      <c r="DB76" s="3">
        <f t="shared" si="84"/>
        <v>0.40647187980965277</v>
      </c>
      <c r="DC76" s="3">
        <f t="shared" si="49"/>
        <v>650</v>
      </c>
      <c r="DD76" s="3">
        <f t="shared" si="49"/>
        <v>650</v>
      </c>
      <c r="DE76" s="3">
        <f t="shared" si="49"/>
        <v>650</v>
      </c>
      <c r="DF76" s="3">
        <f t="shared" si="49"/>
        <v>650</v>
      </c>
      <c r="DG76" s="3">
        <f t="shared" si="49"/>
        <v>650</v>
      </c>
      <c r="DH76" s="3">
        <f t="shared" si="49"/>
        <v>650</v>
      </c>
      <c r="DI76" s="3">
        <f t="shared" si="49"/>
        <v>650</v>
      </c>
      <c r="DJ76" s="3">
        <f t="shared" si="49"/>
        <v>650</v>
      </c>
      <c r="DK76" s="3">
        <f t="shared" si="49"/>
        <v>650</v>
      </c>
      <c r="DL76" s="5">
        <v>53</v>
      </c>
      <c r="DM76" s="6">
        <f t="shared" si="50"/>
        <v>0.48148148148148145</v>
      </c>
      <c r="DQ76" s="94"/>
      <c r="DR76" s="95"/>
      <c r="DS76" s="5">
        <v>53</v>
      </c>
      <c r="DT76" s="6">
        <f t="shared" si="51"/>
        <v>0.48148148148148145</v>
      </c>
      <c r="DU76" s="3">
        <f t="shared" si="52"/>
        <v>600</v>
      </c>
      <c r="DV76" s="3">
        <f t="shared" si="52"/>
        <v>600</v>
      </c>
      <c r="DW76" s="3">
        <f t="shared" si="52"/>
        <v>600</v>
      </c>
      <c r="DX76" s="3">
        <f t="shared" si="52"/>
        <v>600</v>
      </c>
      <c r="DY76" s="3">
        <f t="shared" si="52"/>
        <v>600</v>
      </c>
      <c r="DZ76" s="3">
        <f t="shared" si="52"/>
        <v>600</v>
      </c>
      <c r="EA76" s="3">
        <f t="shared" si="52"/>
        <v>600</v>
      </c>
      <c r="EB76" s="3">
        <f t="shared" si="52"/>
        <v>600</v>
      </c>
      <c r="EC76" s="3">
        <f t="shared" si="52"/>
        <v>600</v>
      </c>
      <c r="ED76" s="3">
        <f t="shared" ref="ED76:ED78" si="85">P76</f>
        <v>802.29178391788457</v>
      </c>
      <c r="EE76" s="3">
        <f t="shared" ref="EE76:EF78" si="86">(ED76*$L$4-BD76)/($L$3-$L$4*CP76)</f>
        <v>525.9679471833781</v>
      </c>
      <c r="EF76" s="3">
        <f t="shared" si="86"/>
        <v>491.69651446657105</v>
      </c>
      <c r="EG76" s="3">
        <f t="shared" si="59"/>
        <v>489.52018981593341</v>
      </c>
      <c r="EH76" s="3">
        <f t="shared" si="59"/>
        <v>491.75299283075685</v>
      </c>
      <c r="EI76" s="3">
        <f t="shared" si="59"/>
        <v>494.02360050155056</v>
      </c>
      <c r="EJ76" s="3">
        <f t="shared" si="59"/>
        <v>495.66662882195953</v>
      </c>
      <c r="EK76" s="3">
        <f t="shared" si="59"/>
        <v>496.60874928646871</v>
      </c>
      <c r="EL76" s="3">
        <f t="shared" si="59"/>
        <v>496.85451762466431</v>
      </c>
      <c r="EM76" s="3">
        <f t="shared" si="59"/>
        <v>496.40136725638359</v>
      </c>
      <c r="EN76" s="3">
        <f t="shared" si="59"/>
        <v>495.22595961305041</v>
      </c>
      <c r="EO76" s="3">
        <f t="shared" si="59"/>
        <v>493.28310580530461</v>
      </c>
      <c r="EP76" s="3">
        <f t="shared" si="59"/>
        <v>200.505711295026</v>
      </c>
      <c r="EQ76" s="3">
        <f t="shared" si="54"/>
        <v>650</v>
      </c>
      <c r="ER76" s="3">
        <f t="shared" si="54"/>
        <v>650</v>
      </c>
      <c r="ES76" s="3">
        <f t="shared" si="54"/>
        <v>650</v>
      </c>
      <c r="ET76" s="3">
        <f t="shared" si="54"/>
        <v>650</v>
      </c>
      <c r="EU76" s="3">
        <f t="shared" si="54"/>
        <v>650</v>
      </c>
      <c r="EV76" s="3">
        <f t="shared" si="54"/>
        <v>650</v>
      </c>
      <c r="EW76" s="3">
        <f t="shared" si="54"/>
        <v>650</v>
      </c>
      <c r="EX76" s="3">
        <f t="shared" si="54"/>
        <v>650</v>
      </c>
      <c r="EY76" s="3">
        <f t="shared" si="54"/>
        <v>650</v>
      </c>
      <c r="EZ76" s="5">
        <v>53</v>
      </c>
      <c r="FA76" s="6">
        <f t="shared" si="55"/>
        <v>0.48148148148148145</v>
      </c>
    </row>
    <row r="77" spans="3:157" ht="15" customHeight="1" x14ac:dyDescent="0.3">
      <c r="C77" s="94"/>
      <c r="D77" s="95"/>
      <c r="E77" s="5">
        <v>52</v>
      </c>
      <c r="F77" s="6">
        <f t="shared" si="36"/>
        <v>0.47222222222222221</v>
      </c>
      <c r="G77" s="3">
        <f t="shared" si="37"/>
        <v>600</v>
      </c>
      <c r="H77" s="3">
        <f t="shared" si="37"/>
        <v>600</v>
      </c>
      <c r="I77" s="3">
        <f t="shared" si="37"/>
        <v>600</v>
      </c>
      <c r="J77" s="3">
        <f t="shared" si="37"/>
        <v>600</v>
      </c>
      <c r="K77" s="3">
        <f t="shared" si="37"/>
        <v>600</v>
      </c>
      <c r="L77" s="3">
        <f t="shared" si="37"/>
        <v>600</v>
      </c>
      <c r="M77" s="3">
        <f t="shared" si="37"/>
        <v>600</v>
      </c>
      <c r="N77" s="3">
        <f t="shared" si="37"/>
        <v>600</v>
      </c>
      <c r="O77" s="3">
        <f t="shared" si="37"/>
        <v>600</v>
      </c>
      <c r="P77" s="3">
        <f t="shared" si="60"/>
        <v>762.85996421438676</v>
      </c>
      <c r="Q77" s="3">
        <f t="shared" si="61"/>
        <v>770.85514982263339</v>
      </c>
      <c r="R77" s="3">
        <f t="shared" si="62"/>
        <v>777.59715992503402</v>
      </c>
      <c r="S77" s="3">
        <f t="shared" si="63"/>
        <v>783.11871445441079</v>
      </c>
      <c r="T77" s="3">
        <f t="shared" si="64"/>
        <v>787.45877712746187</v>
      </c>
      <c r="U77" s="3">
        <f t="shared" si="65"/>
        <v>790.65708720031171</v>
      </c>
      <c r="V77" s="3">
        <f t="shared" si="66"/>
        <v>792.74702716314619</v>
      </c>
      <c r="W77" s="3">
        <f t="shared" si="67"/>
        <v>793.75149545264185</v>
      </c>
      <c r="X77" s="3">
        <f t="shared" si="68"/>
        <v>793.68104265357215</v>
      </c>
      <c r="Y77" s="3">
        <f t="shared" si="69"/>
        <v>792.53424893132899</v>
      </c>
      <c r="Z77" s="3">
        <f t="shared" si="70"/>
        <v>790.29995034235094</v>
      </c>
      <c r="AA77" s="3">
        <f t="shared" si="71"/>
        <v>786.96175103623955</v>
      </c>
      <c r="AB77" s="3">
        <f t="shared" si="72"/>
        <v>782.49876545925383</v>
      </c>
      <c r="AC77" s="3">
        <f t="shared" si="39"/>
        <v>650</v>
      </c>
      <c r="AD77" s="3">
        <f t="shared" si="39"/>
        <v>650</v>
      </c>
      <c r="AE77" s="3">
        <f t="shared" si="39"/>
        <v>650</v>
      </c>
      <c r="AF77" s="3">
        <f t="shared" si="39"/>
        <v>650</v>
      </c>
      <c r="AG77" s="3">
        <f t="shared" si="39"/>
        <v>650</v>
      </c>
      <c r="AH77" s="3">
        <f t="shared" si="39"/>
        <v>650</v>
      </c>
      <c r="AI77" s="3">
        <f t="shared" si="39"/>
        <v>650</v>
      </c>
      <c r="AJ77" s="3">
        <f t="shared" si="39"/>
        <v>650</v>
      </c>
      <c r="AK77" s="3">
        <f t="shared" si="39"/>
        <v>650</v>
      </c>
      <c r="AL77" s="5">
        <v>52</v>
      </c>
      <c r="AM77" s="6">
        <f t="shared" si="40"/>
        <v>0.47222222222222221</v>
      </c>
      <c r="AP77" s="102"/>
      <c r="AQ77" s="101"/>
      <c r="AR77" s="5">
        <v>52</v>
      </c>
      <c r="AS77" s="6">
        <f t="shared" si="41"/>
        <v>0.47222222222222221</v>
      </c>
      <c r="AT77" s="3">
        <f t="shared" si="42"/>
        <v>600</v>
      </c>
      <c r="AU77" s="3">
        <f t="shared" si="42"/>
        <v>600</v>
      </c>
      <c r="AV77" s="3">
        <f t="shared" si="42"/>
        <v>600</v>
      </c>
      <c r="AW77" s="3">
        <f t="shared" si="42"/>
        <v>600</v>
      </c>
      <c r="AX77" s="3">
        <f t="shared" si="42"/>
        <v>600</v>
      </c>
      <c r="AY77" s="3">
        <f t="shared" si="42"/>
        <v>600</v>
      </c>
      <c r="AZ77" s="3">
        <f t="shared" si="42"/>
        <v>600</v>
      </c>
      <c r="BA77" s="3">
        <f t="shared" si="42"/>
        <v>600</v>
      </c>
      <c r="BB77" s="66">
        <f t="shared" si="42"/>
        <v>600</v>
      </c>
      <c r="BC77" s="69"/>
      <c r="BD77" s="23">
        <f t="shared" si="73"/>
        <v>-2771016424.1578121</v>
      </c>
      <c r="BE77" s="3">
        <f t="shared" si="74"/>
        <v>-2795071295.8833399</v>
      </c>
      <c r="BF77" s="3">
        <f t="shared" si="75"/>
        <v>-2814721323.7476144</v>
      </c>
      <c r="BG77" s="3">
        <f t="shared" si="76"/>
        <v>-2830128948.098166</v>
      </c>
      <c r="BH77" s="3">
        <f t="shared" si="77"/>
        <v>-2841466281.1301827</v>
      </c>
      <c r="BI77" s="3">
        <f t="shared" si="78"/>
        <v>-2848870186.1889911</v>
      </c>
      <c r="BJ77" s="3">
        <f t="shared" si="79"/>
        <v>-2852430538.9907389</v>
      </c>
      <c r="BK77" s="3">
        <f t="shared" si="80"/>
        <v>-2852183632.4629555</v>
      </c>
      <c r="BL77" s="3">
        <f t="shared" si="81"/>
        <v>-2848115155.3138905</v>
      </c>
      <c r="BM77" s="3">
        <f t="shared" si="82"/>
        <v>-2840166370.7972879</v>
      </c>
      <c r="BN77" s="66">
        <f t="shared" si="83"/>
        <v>-2828275377.8794465</v>
      </c>
      <c r="BO77" s="69"/>
      <c r="BP77" s="23">
        <f t="shared" si="44"/>
        <v>650</v>
      </c>
      <c r="BQ77" s="3">
        <f t="shared" si="44"/>
        <v>650</v>
      </c>
      <c r="BR77" s="3">
        <f t="shared" si="44"/>
        <v>650</v>
      </c>
      <c r="BS77" s="3">
        <f t="shared" si="44"/>
        <v>650</v>
      </c>
      <c r="BT77" s="3">
        <f t="shared" si="44"/>
        <v>650</v>
      </c>
      <c r="BU77" s="3">
        <f t="shared" si="44"/>
        <v>650</v>
      </c>
      <c r="BV77" s="3">
        <f t="shared" si="44"/>
        <v>650</v>
      </c>
      <c r="BW77" s="3">
        <f t="shared" si="44"/>
        <v>650</v>
      </c>
      <c r="BX77" s="3">
        <f t="shared" si="44"/>
        <v>650</v>
      </c>
      <c r="BY77" s="5">
        <v>52</v>
      </c>
      <c r="BZ77" s="6">
        <f t="shared" si="45"/>
        <v>0.47222222222222221</v>
      </c>
      <c r="CC77" s="94"/>
      <c r="CD77" s="95"/>
      <c r="CE77" s="5">
        <v>52</v>
      </c>
      <c r="CF77" s="6">
        <f t="shared" si="46"/>
        <v>0.47222222222222221</v>
      </c>
      <c r="CG77" s="3">
        <f t="shared" si="47"/>
        <v>600</v>
      </c>
      <c r="CH77" s="3">
        <f t="shared" si="47"/>
        <v>600</v>
      </c>
      <c r="CI77" s="3">
        <f t="shared" si="47"/>
        <v>600</v>
      </c>
      <c r="CJ77" s="3">
        <f t="shared" si="47"/>
        <v>600</v>
      </c>
      <c r="CK77" s="3">
        <f t="shared" si="47"/>
        <v>600</v>
      </c>
      <c r="CL77" s="3">
        <f t="shared" si="47"/>
        <v>600</v>
      </c>
      <c r="CM77" s="3">
        <f t="shared" si="47"/>
        <v>600</v>
      </c>
      <c r="CN77" s="3">
        <f t="shared" si="47"/>
        <v>600</v>
      </c>
      <c r="CO77" s="3">
        <f t="shared" si="47"/>
        <v>600</v>
      </c>
      <c r="CP77" s="3">
        <v>0</v>
      </c>
      <c r="CQ77" s="3">
        <f t="shared" si="84"/>
        <v>0.34883720930232553</v>
      </c>
      <c r="CR77" s="3">
        <f t="shared" si="84"/>
        <v>0.39716748768472904</v>
      </c>
      <c r="CS77" s="3">
        <f t="shared" si="84"/>
        <v>0.40494040593779607</v>
      </c>
      <c r="CT77" s="3">
        <f t="shared" si="84"/>
        <v>0.4062190081621499</v>
      </c>
      <c r="CU77" s="3">
        <f t="shared" si="84"/>
        <v>0.40643010492156101</v>
      </c>
      <c r="CV77" s="3">
        <f t="shared" si="84"/>
        <v>0.40646497802255066</v>
      </c>
      <c r="CW77" s="3">
        <f t="shared" si="84"/>
        <v>0.40647073962099717</v>
      </c>
      <c r="CX77" s="3">
        <f t="shared" si="84"/>
        <v>0.40647169154566137</v>
      </c>
      <c r="CY77" s="3">
        <f t="shared" si="84"/>
        <v>0.40647184882198806</v>
      </c>
      <c r="CZ77" s="3">
        <f t="shared" si="84"/>
        <v>0.40647187480708435</v>
      </c>
      <c r="DA77" s="3">
        <f t="shared" si="84"/>
        <v>0.40647187910032606</v>
      </c>
      <c r="DB77" s="3">
        <f t="shared" si="84"/>
        <v>0.40647187980965277</v>
      </c>
      <c r="DC77" s="3">
        <f t="shared" si="49"/>
        <v>650</v>
      </c>
      <c r="DD77" s="3">
        <f t="shared" si="49"/>
        <v>650</v>
      </c>
      <c r="DE77" s="3">
        <f t="shared" si="49"/>
        <v>650</v>
      </c>
      <c r="DF77" s="3">
        <f t="shared" si="49"/>
        <v>650</v>
      </c>
      <c r="DG77" s="3">
        <f t="shared" si="49"/>
        <v>650</v>
      </c>
      <c r="DH77" s="3">
        <f t="shared" si="49"/>
        <v>650</v>
      </c>
      <c r="DI77" s="3">
        <f t="shared" si="49"/>
        <v>650</v>
      </c>
      <c r="DJ77" s="3">
        <f t="shared" si="49"/>
        <v>650</v>
      </c>
      <c r="DK77" s="3">
        <f t="shared" si="49"/>
        <v>650</v>
      </c>
      <c r="DL77" s="5">
        <v>52</v>
      </c>
      <c r="DM77" s="6">
        <f t="shared" si="50"/>
        <v>0.47222222222222221</v>
      </c>
      <c r="DQ77" s="94"/>
      <c r="DR77" s="95"/>
      <c r="DS77" s="5">
        <v>52</v>
      </c>
      <c r="DT77" s="6">
        <f t="shared" si="51"/>
        <v>0.47222222222222221</v>
      </c>
      <c r="DU77" s="3">
        <f t="shared" si="52"/>
        <v>600</v>
      </c>
      <c r="DV77" s="3">
        <f t="shared" si="52"/>
        <v>600</v>
      </c>
      <c r="DW77" s="3">
        <f t="shared" si="52"/>
        <v>600</v>
      </c>
      <c r="DX77" s="3">
        <f t="shared" si="52"/>
        <v>600</v>
      </c>
      <c r="DY77" s="3">
        <f t="shared" si="52"/>
        <v>600</v>
      </c>
      <c r="DZ77" s="3">
        <f t="shared" si="52"/>
        <v>600</v>
      </c>
      <c r="EA77" s="3">
        <f t="shared" si="52"/>
        <v>600</v>
      </c>
      <c r="EB77" s="3">
        <f t="shared" si="52"/>
        <v>600</v>
      </c>
      <c r="EC77" s="3">
        <f t="shared" si="52"/>
        <v>600</v>
      </c>
      <c r="ED77" s="3">
        <f t="shared" si="85"/>
        <v>762.85996421438676</v>
      </c>
      <c r="EE77" s="3">
        <f t="shared" si="86"/>
        <v>499.60032659297048</v>
      </c>
      <c r="EF77" s="3">
        <f t="shared" si="86"/>
        <v>466.56786754628092</v>
      </c>
      <c r="EG77" s="3">
        <f t="shared" si="59"/>
        <v>464.24483758513594</v>
      </c>
      <c r="EH77" s="3">
        <f t="shared" si="59"/>
        <v>466.27883936857671</v>
      </c>
      <c r="EI77" s="3">
        <f t="shared" si="59"/>
        <v>468.46082977413863</v>
      </c>
      <c r="EJ77" s="3">
        <f t="shared" si="59"/>
        <v>470.11484300862139</v>
      </c>
      <c r="EK77" s="3">
        <f t="shared" si="59"/>
        <v>471.14337502208014</v>
      </c>
      <c r="EL77" s="3">
        <f t="shared" si="59"/>
        <v>471.53830588258455</v>
      </c>
      <c r="EM77" s="3">
        <f t="shared" si="59"/>
        <v>471.29956699174824</v>
      </c>
      <c r="EN77" s="3">
        <f t="shared" si="59"/>
        <v>470.42213199718475</v>
      </c>
      <c r="EO77" s="3">
        <f t="shared" si="59"/>
        <v>468.89800744633129</v>
      </c>
      <c r="EP77" s="3">
        <f t="shared" si="59"/>
        <v>190.59385452571084</v>
      </c>
      <c r="EQ77" s="3">
        <f t="shared" si="54"/>
        <v>650</v>
      </c>
      <c r="ER77" s="3">
        <f t="shared" si="54"/>
        <v>650</v>
      </c>
      <c r="ES77" s="3">
        <f t="shared" si="54"/>
        <v>650</v>
      </c>
      <c r="ET77" s="3">
        <f t="shared" si="54"/>
        <v>650</v>
      </c>
      <c r="EU77" s="3">
        <f t="shared" si="54"/>
        <v>650</v>
      </c>
      <c r="EV77" s="3">
        <f t="shared" si="54"/>
        <v>650</v>
      </c>
      <c r="EW77" s="3">
        <f t="shared" si="54"/>
        <v>650</v>
      </c>
      <c r="EX77" s="3">
        <f t="shared" si="54"/>
        <v>650</v>
      </c>
      <c r="EY77" s="3">
        <f t="shared" si="54"/>
        <v>650</v>
      </c>
      <c r="EZ77" s="5">
        <v>52</v>
      </c>
      <c r="FA77" s="6">
        <f t="shared" si="55"/>
        <v>0.47222222222222221</v>
      </c>
    </row>
    <row r="78" spans="3:157" x14ac:dyDescent="0.3">
      <c r="C78" s="94"/>
      <c r="D78" s="95"/>
      <c r="E78" s="5">
        <v>51</v>
      </c>
      <c r="F78" s="6">
        <f t="shared" si="36"/>
        <v>0.46296296296296291</v>
      </c>
      <c r="G78" s="3">
        <f t="shared" si="37"/>
        <v>600</v>
      </c>
      <c r="H78" s="3">
        <f t="shared" si="37"/>
        <v>600</v>
      </c>
      <c r="I78" s="3">
        <f t="shared" si="37"/>
        <v>600</v>
      </c>
      <c r="J78" s="3">
        <f t="shared" si="37"/>
        <v>600</v>
      </c>
      <c r="K78" s="3">
        <f t="shared" si="37"/>
        <v>600</v>
      </c>
      <c r="L78" s="3">
        <f t="shared" si="37"/>
        <v>600</v>
      </c>
      <c r="M78" s="3">
        <f t="shared" si="37"/>
        <v>600</v>
      </c>
      <c r="N78" s="3">
        <f t="shared" si="37"/>
        <v>600</v>
      </c>
      <c r="O78" s="3">
        <f t="shared" si="37"/>
        <v>600</v>
      </c>
      <c r="P78" s="3">
        <f t="shared" si="60"/>
        <v>732.56839770582314</v>
      </c>
      <c r="Q78" s="3">
        <f t="shared" si="61"/>
        <v>739.15748692078137</v>
      </c>
      <c r="R78" s="3">
        <f t="shared" si="62"/>
        <v>744.7966788846428</v>
      </c>
      <c r="S78" s="3">
        <f t="shared" si="63"/>
        <v>749.52837161246464</v>
      </c>
      <c r="T78" s="3">
        <f t="shared" si="64"/>
        <v>753.35431319488134</v>
      </c>
      <c r="U78" s="3">
        <f t="shared" si="65"/>
        <v>756.28063026991572</v>
      </c>
      <c r="V78" s="3">
        <f t="shared" si="66"/>
        <v>758.31487156032949</v>
      </c>
      <c r="W78" s="3">
        <f t="shared" si="67"/>
        <v>759.46374671548551</v>
      </c>
      <c r="X78" s="3">
        <f t="shared" si="68"/>
        <v>759.73101615311407</v>
      </c>
      <c r="Y78" s="3">
        <f t="shared" si="69"/>
        <v>759.11775648399293</v>
      </c>
      <c r="Z78" s="3">
        <f t="shared" si="70"/>
        <v>757.6221950415661</v>
      </c>
      <c r="AA78" s="3">
        <f t="shared" si="71"/>
        <v>755.2398790932001</v>
      </c>
      <c r="AB78" s="3">
        <f t="shared" si="72"/>
        <v>751.90651922958079</v>
      </c>
      <c r="AC78" s="3">
        <f t="shared" si="39"/>
        <v>650</v>
      </c>
      <c r="AD78" s="3">
        <f t="shared" si="39"/>
        <v>650</v>
      </c>
      <c r="AE78" s="3">
        <f t="shared" si="39"/>
        <v>650</v>
      </c>
      <c r="AF78" s="3">
        <f t="shared" si="39"/>
        <v>650</v>
      </c>
      <c r="AG78" s="3">
        <f t="shared" si="39"/>
        <v>650</v>
      </c>
      <c r="AH78" s="3">
        <f t="shared" si="39"/>
        <v>650</v>
      </c>
      <c r="AI78" s="3">
        <f t="shared" si="39"/>
        <v>650</v>
      </c>
      <c r="AJ78" s="3">
        <f t="shared" si="39"/>
        <v>650</v>
      </c>
      <c r="AK78" s="3">
        <f t="shared" si="39"/>
        <v>650</v>
      </c>
      <c r="AL78" s="5">
        <v>51</v>
      </c>
      <c r="AM78" s="6">
        <f t="shared" si="40"/>
        <v>0.46296296296296291</v>
      </c>
      <c r="AP78" s="102"/>
      <c r="AQ78" s="101"/>
      <c r="AR78" s="5">
        <v>51</v>
      </c>
      <c r="AS78" s="6">
        <f t="shared" si="41"/>
        <v>0.46296296296296291</v>
      </c>
      <c r="AT78" s="3">
        <f t="shared" si="42"/>
        <v>600</v>
      </c>
      <c r="AU78" s="3">
        <f t="shared" si="42"/>
        <v>600</v>
      </c>
      <c r="AV78" s="3">
        <f t="shared" si="42"/>
        <v>600</v>
      </c>
      <c r="AW78" s="3">
        <f t="shared" si="42"/>
        <v>600</v>
      </c>
      <c r="AX78" s="3">
        <f t="shared" si="42"/>
        <v>600</v>
      </c>
      <c r="AY78" s="3">
        <f t="shared" si="42"/>
        <v>600</v>
      </c>
      <c r="AZ78" s="3">
        <f t="shared" si="42"/>
        <v>600</v>
      </c>
      <c r="BA78" s="3">
        <f t="shared" si="42"/>
        <v>600</v>
      </c>
      <c r="BB78" s="66">
        <f t="shared" si="42"/>
        <v>600</v>
      </c>
      <c r="BC78" s="69"/>
      <c r="BD78" s="34">
        <f t="shared" si="73"/>
        <v>-2656029637.6913042</v>
      </c>
      <c r="BE78" s="3">
        <f t="shared" si="74"/>
        <v>-2676087530.675302</v>
      </c>
      <c r="BF78" s="3">
        <f t="shared" si="75"/>
        <v>-2693057607.0875001</v>
      </c>
      <c r="BG78" s="3">
        <f t="shared" si="76"/>
        <v>-2706759721.2037978</v>
      </c>
      <c r="BH78" s="3">
        <f t="shared" si="77"/>
        <v>-2717228095.1567869</v>
      </c>
      <c r="BI78" s="3">
        <f t="shared" si="78"/>
        <v>-2724499174.9584279</v>
      </c>
      <c r="BJ78" s="3">
        <f t="shared" si="79"/>
        <v>-2728605770.8857245</v>
      </c>
      <c r="BK78" s="3">
        <f t="shared" si="80"/>
        <v>-2729560276.4593182</v>
      </c>
      <c r="BL78" s="3">
        <f t="shared" si="81"/>
        <v>-2727367239.6060514</v>
      </c>
      <c r="BM78" s="3">
        <f t="shared" si="82"/>
        <v>-2722019599.463728</v>
      </c>
      <c r="BN78" s="32">
        <f t="shared" si="83"/>
        <v>-2713738007.9955506</v>
      </c>
      <c r="BO78" s="69"/>
      <c r="BP78" s="23">
        <f t="shared" si="44"/>
        <v>650</v>
      </c>
      <c r="BQ78" s="3">
        <f t="shared" si="44"/>
        <v>650</v>
      </c>
      <c r="BR78" s="3">
        <f t="shared" si="44"/>
        <v>650</v>
      </c>
      <c r="BS78" s="3">
        <f t="shared" si="44"/>
        <v>650</v>
      </c>
      <c r="BT78" s="3">
        <f t="shared" si="44"/>
        <v>650</v>
      </c>
      <c r="BU78" s="3">
        <f t="shared" si="44"/>
        <v>650</v>
      </c>
      <c r="BV78" s="3">
        <f t="shared" si="44"/>
        <v>650</v>
      </c>
      <c r="BW78" s="3">
        <f t="shared" si="44"/>
        <v>650</v>
      </c>
      <c r="BX78" s="3">
        <f t="shared" si="44"/>
        <v>650</v>
      </c>
      <c r="BY78" s="5">
        <v>51</v>
      </c>
      <c r="BZ78" s="6">
        <f t="shared" si="45"/>
        <v>0.46296296296296291</v>
      </c>
      <c r="CC78" s="94"/>
      <c r="CD78" s="95"/>
      <c r="CE78" s="5">
        <v>51</v>
      </c>
      <c r="CF78" s="6">
        <f t="shared" si="46"/>
        <v>0.46296296296296291</v>
      </c>
      <c r="CG78" s="3">
        <f t="shared" si="47"/>
        <v>600</v>
      </c>
      <c r="CH78" s="3">
        <f t="shared" si="47"/>
        <v>600</v>
      </c>
      <c r="CI78" s="3">
        <f t="shared" si="47"/>
        <v>600</v>
      </c>
      <c r="CJ78" s="3">
        <f t="shared" si="47"/>
        <v>600</v>
      </c>
      <c r="CK78" s="3">
        <f t="shared" si="47"/>
        <v>600</v>
      </c>
      <c r="CL78" s="3">
        <f t="shared" si="47"/>
        <v>600</v>
      </c>
      <c r="CM78" s="3">
        <f t="shared" si="47"/>
        <v>600</v>
      </c>
      <c r="CN78" s="3">
        <f t="shared" si="47"/>
        <v>600</v>
      </c>
      <c r="CO78" s="3">
        <f t="shared" si="47"/>
        <v>600</v>
      </c>
      <c r="CP78" s="3">
        <v>0</v>
      </c>
      <c r="CQ78" s="3">
        <f t="shared" si="84"/>
        <v>0.34883720930232553</v>
      </c>
      <c r="CR78" s="3">
        <f t="shared" si="84"/>
        <v>0.39716748768472904</v>
      </c>
      <c r="CS78" s="3">
        <f t="shared" si="84"/>
        <v>0.40494040593779607</v>
      </c>
      <c r="CT78" s="3">
        <f t="shared" si="84"/>
        <v>0.4062190081621499</v>
      </c>
      <c r="CU78" s="3">
        <f t="shared" si="84"/>
        <v>0.40643010492156101</v>
      </c>
      <c r="CV78" s="3">
        <f t="shared" si="84"/>
        <v>0.40646497802255066</v>
      </c>
      <c r="CW78" s="3">
        <f t="shared" si="84"/>
        <v>0.40647073962099717</v>
      </c>
      <c r="CX78" s="3">
        <f t="shared" si="84"/>
        <v>0.40647169154566137</v>
      </c>
      <c r="CY78" s="3">
        <f t="shared" si="84"/>
        <v>0.40647184882198806</v>
      </c>
      <c r="CZ78" s="3">
        <f t="shared" si="84"/>
        <v>0.40647187480708435</v>
      </c>
      <c r="DA78" s="3">
        <f t="shared" si="84"/>
        <v>0.40647187910032606</v>
      </c>
      <c r="DB78" s="3">
        <f t="shared" si="84"/>
        <v>0.40647187980965277</v>
      </c>
      <c r="DC78" s="3">
        <f t="shared" si="49"/>
        <v>650</v>
      </c>
      <c r="DD78" s="3">
        <f t="shared" si="49"/>
        <v>650</v>
      </c>
      <c r="DE78" s="3">
        <f t="shared" si="49"/>
        <v>650</v>
      </c>
      <c r="DF78" s="3">
        <f t="shared" si="49"/>
        <v>650</v>
      </c>
      <c r="DG78" s="3">
        <f t="shared" si="49"/>
        <v>650</v>
      </c>
      <c r="DH78" s="3">
        <f t="shared" si="49"/>
        <v>650</v>
      </c>
      <c r="DI78" s="3">
        <f t="shared" si="49"/>
        <v>650</v>
      </c>
      <c r="DJ78" s="3">
        <f t="shared" si="49"/>
        <v>650</v>
      </c>
      <c r="DK78" s="3">
        <f t="shared" si="49"/>
        <v>650</v>
      </c>
      <c r="DL78" s="5">
        <v>51</v>
      </c>
      <c r="DM78" s="6">
        <f t="shared" si="50"/>
        <v>0.46296296296296291</v>
      </c>
      <c r="DQ78" s="94"/>
      <c r="DR78" s="95"/>
      <c r="DS78" s="5">
        <v>51</v>
      </c>
      <c r="DT78" s="6">
        <f t="shared" si="51"/>
        <v>0.46296296296296291</v>
      </c>
      <c r="DU78" s="3">
        <f t="shared" si="52"/>
        <v>600</v>
      </c>
      <c r="DV78" s="3">
        <f t="shared" si="52"/>
        <v>600</v>
      </c>
      <c r="DW78" s="3">
        <f t="shared" si="52"/>
        <v>600</v>
      </c>
      <c r="DX78" s="3">
        <f t="shared" si="52"/>
        <v>600</v>
      </c>
      <c r="DY78" s="3">
        <f t="shared" si="52"/>
        <v>600</v>
      </c>
      <c r="DZ78" s="3">
        <f t="shared" si="52"/>
        <v>600</v>
      </c>
      <c r="EA78" s="3">
        <f t="shared" si="52"/>
        <v>600</v>
      </c>
      <c r="EB78" s="3">
        <f t="shared" si="52"/>
        <v>600</v>
      </c>
      <c r="EC78" s="3">
        <f t="shared" si="52"/>
        <v>600</v>
      </c>
      <c r="ED78" s="3">
        <f t="shared" si="85"/>
        <v>732.56839770582314</v>
      </c>
      <c r="EE78" s="3">
        <f t="shared" si="86"/>
        <v>479.34469196102225</v>
      </c>
      <c r="EF78" s="3">
        <f t="shared" si="86"/>
        <v>447.10837858289426</v>
      </c>
      <c r="EG78" s="3">
        <f t="shared" si="59"/>
        <v>444.46477021233983</v>
      </c>
      <c r="EH78" s="3">
        <f t="shared" si="59"/>
        <v>446.13874567439058</v>
      </c>
      <c r="EI78" s="3">
        <f t="shared" si="59"/>
        <v>448.078637458071</v>
      </c>
      <c r="EJ78" s="3">
        <f t="shared" si="59"/>
        <v>449.61945644269565</v>
      </c>
      <c r="EK78" s="3">
        <f t="shared" si="59"/>
        <v>450.65531866671745</v>
      </c>
      <c r="EL78" s="3">
        <f t="shared" si="59"/>
        <v>451.17113759271803</v>
      </c>
      <c r="EM78" s="3">
        <f t="shared" si="59"/>
        <v>451.16566215687465</v>
      </c>
      <c r="EN78" s="3">
        <f t="shared" si="59"/>
        <v>450.6384254574773</v>
      </c>
      <c r="EO78" s="3">
        <f t="shared" si="59"/>
        <v>449.61102331416697</v>
      </c>
      <c r="EP78" s="3">
        <f t="shared" si="59"/>
        <v>182.75423782965106</v>
      </c>
      <c r="EQ78" s="3">
        <f t="shared" si="54"/>
        <v>650</v>
      </c>
      <c r="ER78" s="3">
        <f t="shared" si="54"/>
        <v>650</v>
      </c>
      <c r="ES78" s="3">
        <f t="shared" si="54"/>
        <v>650</v>
      </c>
      <c r="ET78" s="3">
        <f t="shared" si="54"/>
        <v>650</v>
      </c>
      <c r="EU78" s="3">
        <f t="shared" si="54"/>
        <v>650</v>
      </c>
      <c r="EV78" s="3">
        <f t="shared" si="54"/>
        <v>650</v>
      </c>
      <c r="EW78" s="3">
        <f t="shared" si="54"/>
        <v>650</v>
      </c>
      <c r="EX78" s="3">
        <f t="shared" si="54"/>
        <v>650</v>
      </c>
      <c r="EY78" s="3">
        <f t="shared" si="54"/>
        <v>650</v>
      </c>
      <c r="EZ78" s="5">
        <v>51</v>
      </c>
      <c r="FA78" s="6">
        <f t="shared" si="55"/>
        <v>0.46296296296296291</v>
      </c>
    </row>
    <row r="79" spans="3:157" x14ac:dyDescent="0.3">
      <c r="C79" s="94"/>
      <c r="D79" s="95"/>
      <c r="E79" s="5">
        <v>50</v>
      </c>
      <c r="F79" s="6">
        <f t="shared" si="36"/>
        <v>0.45370370370370366</v>
      </c>
      <c r="G79" s="3">
        <f t="shared" si="37"/>
        <v>600</v>
      </c>
      <c r="H79" s="3">
        <f t="shared" si="37"/>
        <v>600</v>
      </c>
      <c r="I79" s="3">
        <f t="shared" si="37"/>
        <v>600</v>
      </c>
      <c r="J79" s="3">
        <f t="shared" si="37"/>
        <v>600</v>
      </c>
      <c r="K79" s="3">
        <f t="shared" si="37"/>
        <v>600</v>
      </c>
      <c r="L79" s="3">
        <f t="shared" si="37"/>
        <v>600</v>
      </c>
      <c r="M79" s="3">
        <f t="shared" si="37"/>
        <v>600</v>
      </c>
      <c r="N79" s="3">
        <f t="shared" si="37"/>
        <v>600</v>
      </c>
      <c r="O79" s="3">
        <f t="shared" si="37"/>
        <v>600</v>
      </c>
      <c r="P79" s="3">
        <f t="shared" ref="P79:P120" si="87">$R$2</f>
        <v>600</v>
      </c>
      <c r="Q79" s="3">
        <f t="shared" ref="Q79" si="88">($F$5*$B$5*P16+$F$4*R16)/($F$4+$F$5*$B$5)</f>
        <v>713.1270232362466</v>
      </c>
      <c r="R79" s="3">
        <f t="shared" ref="R79:R80" si="89">CR79*S79+EF79</f>
        <v>718.44463544244422</v>
      </c>
      <c r="S79" s="3">
        <f t="shared" ref="S79:S80" si="90">CS79*T79+EG79</f>
        <v>722.6871683642695</v>
      </c>
      <c r="T79" s="3">
        <f t="shared" ref="T79:T80" si="91">CT79*U79+EH79</f>
        <v>726.09143452741557</v>
      </c>
      <c r="U79" s="3">
        <f t="shared" ref="U79:U80" si="92">CU79*V79+EI79</f>
        <v>728.75102456982984</v>
      </c>
      <c r="V79" s="3">
        <f t="shared" ref="V79:V80" si="93">CV79*W79+EJ79</f>
        <v>730.7026881163282</v>
      </c>
      <c r="W79" s="3">
        <f t="shared" ref="W79:W80" si="94">CW79*X79+EK79</f>
        <v>731.95851465527596</v>
      </c>
      <c r="X79" s="3">
        <f t="shared" ref="X79:X80" si="95">CX79*Y79+EL79</f>
        <v>732.50815874173782</v>
      </c>
      <c r="Y79" s="3">
        <f t="shared" ref="Y79:Y80" si="96">CY79*Z79+EM79</f>
        <v>732.31442810858107</v>
      </c>
      <c r="Z79" s="3">
        <f t="shared" ref="Z79:Z80" si="97">CZ79*AA79+EN79</f>
        <v>731.2742898793565</v>
      </c>
      <c r="AA79" s="3">
        <f t="shared" ref="AA79" si="98">($F$6*$B$5*AB16+$F$4*Z16)/($F$4+$F$6*$B$5)</f>
        <v>729.11993149653426</v>
      </c>
      <c r="AB79" s="3">
        <f t="shared" ref="AB79:AB120" si="99">$R$3</f>
        <v>650</v>
      </c>
      <c r="AC79" s="3">
        <f t="shared" si="39"/>
        <v>650</v>
      </c>
      <c r="AD79" s="3">
        <f t="shared" si="39"/>
        <v>650</v>
      </c>
      <c r="AE79" s="3">
        <f t="shared" si="39"/>
        <v>650</v>
      </c>
      <c r="AF79" s="3">
        <f t="shared" si="39"/>
        <v>650</v>
      </c>
      <c r="AG79" s="3">
        <f t="shared" si="39"/>
        <v>650</v>
      </c>
      <c r="AH79" s="3">
        <f t="shared" si="39"/>
        <v>650</v>
      </c>
      <c r="AI79" s="3">
        <f t="shared" si="39"/>
        <v>650</v>
      </c>
      <c r="AJ79" s="3">
        <f t="shared" si="39"/>
        <v>650</v>
      </c>
      <c r="AK79" s="3">
        <f t="shared" si="39"/>
        <v>650</v>
      </c>
      <c r="AL79" s="5">
        <v>50</v>
      </c>
      <c r="AM79" s="6">
        <f t="shared" si="40"/>
        <v>0.45370370370370366</v>
      </c>
      <c r="AP79" s="102"/>
      <c r="AQ79" s="101"/>
      <c r="AR79" s="5">
        <v>50</v>
      </c>
      <c r="AS79" s="6">
        <f t="shared" si="41"/>
        <v>0.45370370370370366</v>
      </c>
      <c r="AT79" s="3">
        <f t="shared" si="42"/>
        <v>600</v>
      </c>
      <c r="AU79" s="3">
        <f t="shared" si="42"/>
        <v>600</v>
      </c>
      <c r="AV79" s="3">
        <f t="shared" si="42"/>
        <v>600</v>
      </c>
      <c r="AW79" s="3">
        <f t="shared" si="42"/>
        <v>600</v>
      </c>
      <c r="AX79" s="3">
        <f t="shared" si="42"/>
        <v>600</v>
      </c>
      <c r="AY79" s="3">
        <f t="shared" si="42"/>
        <v>600</v>
      </c>
      <c r="AZ79" s="3">
        <f t="shared" si="42"/>
        <v>600</v>
      </c>
      <c r="BA79" s="3">
        <f t="shared" si="42"/>
        <v>600</v>
      </c>
      <c r="BB79" s="3">
        <f t="shared" si="42"/>
        <v>600</v>
      </c>
      <c r="BC79" s="30">
        <f t="shared" ref="BC79:BC120" si="100">$R$2</f>
        <v>600</v>
      </c>
      <c r="BD79" s="69"/>
      <c r="BE79" s="23">
        <f t="shared" ref="BE79:BE80" si="101">-($F$3*$F$2)/$B$8*R16</f>
        <v>-2582230180.204792</v>
      </c>
      <c r="BF79" s="3">
        <f t="shared" ref="BF79:BF80" si="102">-($F$3*$F$2)/$B$8*S16</f>
        <v>-2596471984.4719305</v>
      </c>
      <c r="BG79" s="3">
        <f t="shared" ref="BG79:BG80" si="103">-($F$3*$F$2)/$B$8*T16</f>
        <v>-2608299026.2241964</v>
      </c>
      <c r="BH79" s="3">
        <f t="shared" ref="BH79:BH80" si="104">-($F$3*$F$2)/$B$8*U16</f>
        <v>-2617689491.8496418</v>
      </c>
      <c r="BI79" s="3">
        <f t="shared" ref="BI79:BI80" si="105">-($F$3*$F$2)/$B$8*V16</f>
        <v>-2624642010.1726456</v>
      </c>
      <c r="BJ79" s="3">
        <f t="shared" ref="BJ79:BJ80" si="106">-($F$3*$F$2)/$B$8*W16</f>
        <v>-2629190745.9364219</v>
      </c>
      <c r="BK79" s="3">
        <f t="shared" ref="BK79:BK80" si="107">-($F$3*$F$2)/$B$8*X16</f>
        <v>-2631316844.9045753</v>
      </c>
      <c r="BL79" s="3">
        <f t="shared" ref="BL79:BL80" si="108">-($F$3*$F$2)/$B$8*Y16</f>
        <v>-2631048295.5013103</v>
      </c>
      <c r="BM79" s="66">
        <f t="shared" ref="BM79:BM80" si="109">-($F$3*$F$2)/$B$8*Z16</f>
        <v>-2628425023.5230246</v>
      </c>
      <c r="BN79" s="69"/>
      <c r="BO79" s="26">
        <f t="shared" ref="BO79:BO120" si="110">$R$3</f>
        <v>650</v>
      </c>
      <c r="BP79" s="3">
        <f t="shared" si="44"/>
        <v>650</v>
      </c>
      <c r="BQ79" s="3">
        <f t="shared" si="44"/>
        <v>650</v>
      </c>
      <c r="BR79" s="3">
        <f t="shared" si="44"/>
        <v>650</v>
      </c>
      <c r="BS79" s="3">
        <f t="shared" si="44"/>
        <v>650</v>
      </c>
      <c r="BT79" s="3">
        <f t="shared" si="44"/>
        <v>650</v>
      </c>
      <c r="BU79" s="3">
        <f t="shared" si="44"/>
        <v>650</v>
      </c>
      <c r="BV79" s="3">
        <f t="shared" si="44"/>
        <v>650</v>
      </c>
      <c r="BW79" s="3">
        <f t="shared" si="44"/>
        <v>650</v>
      </c>
      <c r="BX79" s="3">
        <f t="shared" si="44"/>
        <v>650</v>
      </c>
      <c r="BY79" s="5">
        <v>50</v>
      </c>
      <c r="BZ79" s="6">
        <f t="shared" si="45"/>
        <v>0.45370370370370366</v>
      </c>
      <c r="CC79" s="94"/>
      <c r="CD79" s="95"/>
      <c r="CE79" s="5">
        <v>50</v>
      </c>
      <c r="CF79" s="6">
        <f t="shared" si="46"/>
        <v>0.45370370370370366</v>
      </c>
      <c r="CG79" s="3">
        <f t="shared" si="47"/>
        <v>600</v>
      </c>
      <c r="CH79" s="3">
        <f t="shared" si="47"/>
        <v>600</v>
      </c>
      <c r="CI79" s="3">
        <f t="shared" si="47"/>
        <v>600</v>
      </c>
      <c r="CJ79" s="3">
        <f t="shared" si="47"/>
        <v>600</v>
      </c>
      <c r="CK79" s="3">
        <f t="shared" si="47"/>
        <v>600</v>
      </c>
      <c r="CL79" s="3">
        <f t="shared" si="47"/>
        <v>600</v>
      </c>
      <c r="CM79" s="3">
        <f t="shared" si="47"/>
        <v>600</v>
      </c>
      <c r="CN79" s="3">
        <f t="shared" si="47"/>
        <v>600</v>
      </c>
      <c r="CO79" s="3">
        <f t="shared" si="47"/>
        <v>600</v>
      </c>
      <c r="CP79" s="3">
        <f t="shared" ref="CP79:CP120" si="111">$R$2</f>
        <v>600</v>
      </c>
      <c r="CQ79" s="3">
        <v>0</v>
      </c>
      <c r="CR79" s="3">
        <f t="shared" ref="CR79:DA79" si="112">$L$2/($L$3-$L$4*CQ79)</f>
        <v>0.34883720930232553</v>
      </c>
      <c r="CS79" s="3">
        <f t="shared" si="112"/>
        <v>0.39716748768472904</v>
      </c>
      <c r="CT79" s="3">
        <f t="shared" si="112"/>
        <v>0.40494040593779607</v>
      </c>
      <c r="CU79" s="3">
        <f t="shared" si="112"/>
        <v>0.4062190081621499</v>
      </c>
      <c r="CV79" s="3">
        <f t="shared" si="112"/>
        <v>0.40643010492156101</v>
      </c>
      <c r="CW79" s="3">
        <f t="shared" si="112"/>
        <v>0.40646497802255066</v>
      </c>
      <c r="CX79" s="3">
        <f t="shared" si="112"/>
        <v>0.40647073962099717</v>
      </c>
      <c r="CY79" s="3">
        <f t="shared" si="112"/>
        <v>0.40647169154566137</v>
      </c>
      <c r="CZ79" s="3">
        <f t="shared" si="112"/>
        <v>0.40647184882198806</v>
      </c>
      <c r="DA79" s="3">
        <f t="shared" si="112"/>
        <v>0.40647187480708435</v>
      </c>
      <c r="DB79" s="3">
        <f t="shared" ref="DB79:DB120" si="113">$R$3</f>
        <v>650</v>
      </c>
      <c r="DC79" s="3">
        <f t="shared" si="49"/>
        <v>650</v>
      </c>
      <c r="DD79" s="3">
        <f t="shared" si="49"/>
        <v>650</v>
      </c>
      <c r="DE79" s="3">
        <f t="shared" si="49"/>
        <v>650</v>
      </c>
      <c r="DF79" s="3">
        <f t="shared" si="49"/>
        <v>650</v>
      </c>
      <c r="DG79" s="3">
        <f t="shared" si="49"/>
        <v>650</v>
      </c>
      <c r="DH79" s="3">
        <f t="shared" si="49"/>
        <v>650</v>
      </c>
      <c r="DI79" s="3">
        <f t="shared" si="49"/>
        <v>650</v>
      </c>
      <c r="DJ79" s="3">
        <f t="shared" si="49"/>
        <v>650</v>
      </c>
      <c r="DK79" s="3">
        <f t="shared" si="49"/>
        <v>650</v>
      </c>
      <c r="DL79" s="5">
        <v>50</v>
      </c>
      <c r="DM79" s="6">
        <f t="shared" si="50"/>
        <v>0.45370370370370366</v>
      </c>
      <c r="DQ79" s="94"/>
      <c r="DR79" s="95"/>
      <c r="DS79" s="5">
        <v>50</v>
      </c>
      <c r="DT79" s="6">
        <f t="shared" si="51"/>
        <v>0.45370370370370366</v>
      </c>
      <c r="DU79" s="3">
        <f t="shared" si="52"/>
        <v>600</v>
      </c>
      <c r="DV79" s="3">
        <f t="shared" si="52"/>
        <v>600</v>
      </c>
      <c r="DW79" s="3">
        <f t="shared" si="52"/>
        <v>600</v>
      </c>
      <c r="DX79" s="3">
        <f t="shared" si="52"/>
        <v>600</v>
      </c>
      <c r="DY79" s="3">
        <f t="shared" si="52"/>
        <v>600</v>
      </c>
      <c r="DZ79" s="3">
        <f t="shared" si="52"/>
        <v>600</v>
      </c>
      <c r="EA79" s="3">
        <f t="shared" si="52"/>
        <v>600</v>
      </c>
      <c r="EB79" s="3">
        <f t="shared" si="52"/>
        <v>600</v>
      </c>
      <c r="EC79" s="3">
        <f t="shared" si="52"/>
        <v>600</v>
      </c>
      <c r="ED79" s="3">
        <f t="shared" ref="ED79:ED120" si="114">$R$2</f>
        <v>600</v>
      </c>
      <c r="EE79" s="3">
        <f>Q79</f>
        <v>713.1270232362466</v>
      </c>
      <c r="EF79" s="3">
        <f t="shared" ref="EF79:EF80" si="115">(EE79*$L$4-BE79)/($L$3-$L$4*CQ79)</f>
        <v>466.34446043165258</v>
      </c>
      <c r="EG79" s="3">
        <f t="shared" ref="EG79:EG80" si="116">(EF79*$L$4-BF79)/($L$3-$L$4*CR79)</f>
        <v>434.30725748361493</v>
      </c>
      <c r="EH79" s="3">
        <f t="shared" ref="EH79:EH80" si="117">(EG79*$L$4-BG79)/($L$3-$L$4*CS79)</f>
        <v>430.9906988105239</v>
      </c>
      <c r="EI79" s="3">
        <f t="shared" ref="EI79:EI80" si="118">(EH79*$L$4-BH79)/($L$3-$L$4*CT79)</f>
        <v>431.92570334179823</v>
      </c>
      <c r="EJ79" s="3">
        <f t="shared" ref="EJ79:EJ80" si="119">(EI79*$L$4-BI79)/($L$3-$L$4*CU79)</f>
        <v>433.21271220675442</v>
      </c>
      <c r="EK79" s="3">
        <f t="shared" ref="EK79:EK80" si="120">(EJ79*$L$4-BJ79)/($L$3-$L$4*CV79)</f>
        <v>434.21960201097647</v>
      </c>
      <c r="EL79" s="3">
        <f t="shared" ref="EL79:EL80" si="121">(EK79*$L$4-BK79)/($L$3-$L$4*CW79)</f>
        <v>434.84377151331529</v>
      </c>
      <c r="EM79" s="3">
        <f t="shared" ref="EM79:EM80" si="122">(EL79*$L$4-BL79)/($L$3-$L$4*CX79)</f>
        <v>435.07213051746669</v>
      </c>
      <c r="EN79" s="3">
        <f t="shared" ref="EN79:EN80" si="123">(EM79*$L$4-BM79)/($L$3-$L$4*CY79)</f>
        <v>434.90756331099885</v>
      </c>
      <c r="EO79" s="3">
        <f t="shared" ref="EO79:EO80" si="124">(EN79*$L$4-BN79)/($L$3-$L$4*CZ79)</f>
        <v>176.77769262680243</v>
      </c>
      <c r="EP79" s="3">
        <f t="shared" ref="EP79:EP120" si="125">$R$3</f>
        <v>650</v>
      </c>
      <c r="EQ79" s="3">
        <f t="shared" si="54"/>
        <v>650</v>
      </c>
      <c r="ER79" s="3">
        <f t="shared" si="54"/>
        <v>650</v>
      </c>
      <c r="ES79" s="3">
        <f t="shared" si="54"/>
        <v>650</v>
      </c>
      <c r="ET79" s="3">
        <f t="shared" si="54"/>
        <v>650</v>
      </c>
      <c r="EU79" s="3">
        <f t="shared" si="54"/>
        <v>650</v>
      </c>
      <c r="EV79" s="3">
        <f t="shared" si="54"/>
        <v>650</v>
      </c>
      <c r="EW79" s="3">
        <f t="shared" si="54"/>
        <v>650</v>
      </c>
      <c r="EX79" s="3">
        <f t="shared" si="54"/>
        <v>650</v>
      </c>
      <c r="EY79" s="3">
        <f t="shared" si="54"/>
        <v>650</v>
      </c>
      <c r="EZ79" s="5">
        <v>50</v>
      </c>
      <c r="FA79" s="6">
        <f t="shared" si="55"/>
        <v>0.45370370370370366</v>
      </c>
    </row>
    <row r="80" spans="3:157" x14ac:dyDescent="0.3">
      <c r="C80" s="94"/>
      <c r="D80" s="95"/>
      <c r="E80" s="5">
        <v>49</v>
      </c>
      <c r="F80" s="6">
        <f t="shared" si="36"/>
        <v>0.44444444444444442</v>
      </c>
      <c r="G80" s="3">
        <f t="shared" si="37"/>
        <v>600</v>
      </c>
      <c r="H80" s="3">
        <f t="shared" si="37"/>
        <v>600</v>
      </c>
      <c r="I80" s="3">
        <f t="shared" si="37"/>
        <v>600</v>
      </c>
      <c r="J80" s="3">
        <f t="shared" si="37"/>
        <v>600</v>
      </c>
      <c r="K80" s="3">
        <f t="shared" si="37"/>
        <v>600</v>
      </c>
      <c r="L80" s="3">
        <f t="shared" si="37"/>
        <v>600</v>
      </c>
      <c r="M80" s="3">
        <f t="shared" si="37"/>
        <v>600</v>
      </c>
      <c r="N80" s="3">
        <f t="shared" si="37"/>
        <v>600</v>
      </c>
      <c r="O80" s="3">
        <f t="shared" si="37"/>
        <v>600</v>
      </c>
      <c r="P80" s="3">
        <f t="shared" si="87"/>
        <v>600</v>
      </c>
      <c r="Q80" s="3">
        <f t="shared" ref="Q80:S82" si="126">($F$5*$B$5*P17+$F$4*R17)/($F$4+$F$5*$B$5)</f>
        <v>696.24325367907409</v>
      </c>
      <c r="R80" s="3">
        <f t="shared" si="89"/>
        <v>700.2133475907018</v>
      </c>
      <c r="S80" s="3">
        <f t="shared" si="90"/>
        <v>702.78877971239558</v>
      </c>
      <c r="T80" s="3">
        <f t="shared" si="91"/>
        <v>705.00414329541877</v>
      </c>
      <c r="U80" s="3">
        <f t="shared" si="92"/>
        <v>707.00140745940303</v>
      </c>
      <c r="V80" s="3">
        <f t="shared" si="93"/>
        <v>708.74941116904643</v>
      </c>
      <c r="W80" s="3">
        <f t="shared" si="94"/>
        <v>710.24152413302181</v>
      </c>
      <c r="X80" s="3">
        <f t="shared" si="95"/>
        <v>711.49620153509136</v>
      </c>
      <c r="Y80" s="3">
        <f t="shared" si="96"/>
        <v>712.55557712836219</v>
      </c>
      <c r="Z80" s="3">
        <f t="shared" si="97"/>
        <v>713.24879585314579</v>
      </c>
      <c r="AA80" s="3">
        <f t="shared" ref="Y80:AA82" si="127">($F$6*$B$5*AB17+$F$4*Z17)/($F$4+$F$6*$B$5)</f>
        <v>712.36131657454519</v>
      </c>
      <c r="AB80" s="3">
        <f t="shared" si="99"/>
        <v>650</v>
      </c>
      <c r="AC80" s="3">
        <f t="shared" si="39"/>
        <v>650</v>
      </c>
      <c r="AD80" s="3">
        <f t="shared" si="39"/>
        <v>650</v>
      </c>
      <c r="AE80" s="3">
        <f t="shared" si="39"/>
        <v>650</v>
      </c>
      <c r="AF80" s="3">
        <f t="shared" si="39"/>
        <v>650</v>
      </c>
      <c r="AG80" s="3">
        <f t="shared" si="39"/>
        <v>650</v>
      </c>
      <c r="AH80" s="3">
        <f t="shared" si="39"/>
        <v>650</v>
      </c>
      <c r="AI80" s="3">
        <f t="shared" si="39"/>
        <v>650</v>
      </c>
      <c r="AJ80" s="3">
        <f t="shared" si="39"/>
        <v>650</v>
      </c>
      <c r="AK80" s="3">
        <f t="shared" si="39"/>
        <v>650</v>
      </c>
      <c r="AL80" s="5">
        <v>49</v>
      </c>
      <c r="AM80" s="6">
        <f t="shared" si="40"/>
        <v>0.44444444444444442</v>
      </c>
      <c r="AP80" s="102"/>
      <c r="AQ80" s="101"/>
      <c r="AR80" s="5">
        <v>49</v>
      </c>
      <c r="AS80" s="6">
        <f t="shared" si="41"/>
        <v>0.44444444444444442</v>
      </c>
      <c r="AT80" s="3">
        <f t="shared" si="42"/>
        <v>600</v>
      </c>
      <c r="AU80" s="3">
        <f t="shared" si="42"/>
        <v>600</v>
      </c>
      <c r="AV80" s="3">
        <f t="shared" si="42"/>
        <v>600</v>
      </c>
      <c r="AW80" s="3">
        <f t="shared" si="42"/>
        <v>600</v>
      </c>
      <c r="AX80" s="3">
        <f t="shared" si="42"/>
        <v>600</v>
      </c>
      <c r="AY80" s="3">
        <f t="shared" si="42"/>
        <v>600</v>
      </c>
      <c r="AZ80" s="3">
        <f t="shared" si="42"/>
        <v>600</v>
      </c>
      <c r="BA80" s="3">
        <f t="shared" si="42"/>
        <v>600</v>
      </c>
      <c r="BB80" s="3">
        <f t="shared" si="42"/>
        <v>600</v>
      </c>
      <c r="BC80" s="66">
        <f t="shared" si="100"/>
        <v>600</v>
      </c>
      <c r="BD80" s="69"/>
      <c r="BE80" s="23">
        <f t="shared" si="101"/>
        <v>-2518139390.965765</v>
      </c>
      <c r="BF80" s="3">
        <f t="shared" si="102"/>
        <v>-2523096825.3581719</v>
      </c>
      <c r="BG80" s="3">
        <f t="shared" si="103"/>
        <v>-2530457797.7387834</v>
      </c>
      <c r="BH80" s="3">
        <f t="shared" si="104"/>
        <v>-2537752988.2453098</v>
      </c>
      <c r="BI80" s="3">
        <f t="shared" si="105"/>
        <v>-2544052274.9616051</v>
      </c>
      <c r="BJ80" s="3">
        <f t="shared" si="106"/>
        <v>-2549329571.8155718</v>
      </c>
      <c r="BK80" s="3">
        <f t="shared" si="107"/>
        <v>-2553656920.596334</v>
      </c>
      <c r="BL80" s="3">
        <f t="shared" si="108"/>
        <v>-2558165300.172101</v>
      </c>
      <c r="BM80" s="66">
        <f t="shared" si="109"/>
        <v>-2565680769.2550974</v>
      </c>
      <c r="BN80" s="69"/>
      <c r="BO80" s="23">
        <f t="shared" si="110"/>
        <v>650</v>
      </c>
      <c r="BP80" s="3">
        <f t="shared" si="44"/>
        <v>650</v>
      </c>
      <c r="BQ80" s="3">
        <f t="shared" si="44"/>
        <v>650</v>
      </c>
      <c r="BR80" s="3">
        <f t="shared" si="44"/>
        <v>650</v>
      </c>
      <c r="BS80" s="3">
        <f t="shared" si="44"/>
        <v>650</v>
      </c>
      <c r="BT80" s="3">
        <f t="shared" si="44"/>
        <v>650</v>
      </c>
      <c r="BU80" s="3">
        <f t="shared" si="44"/>
        <v>650</v>
      </c>
      <c r="BV80" s="3">
        <f t="shared" si="44"/>
        <v>650</v>
      </c>
      <c r="BW80" s="3">
        <f t="shared" si="44"/>
        <v>650</v>
      </c>
      <c r="BX80" s="3">
        <f t="shared" si="44"/>
        <v>650</v>
      </c>
      <c r="BY80" s="5">
        <v>49</v>
      </c>
      <c r="BZ80" s="6">
        <f t="shared" si="45"/>
        <v>0.44444444444444442</v>
      </c>
      <c r="CC80" s="94"/>
      <c r="CD80" s="95"/>
      <c r="CE80" s="5">
        <v>49</v>
      </c>
      <c r="CF80" s="6">
        <f t="shared" si="46"/>
        <v>0.44444444444444442</v>
      </c>
      <c r="CG80" s="3">
        <f t="shared" si="47"/>
        <v>600</v>
      </c>
      <c r="CH80" s="3">
        <f t="shared" si="47"/>
        <v>600</v>
      </c>
      <c r="CI80" s="3">
        <f t="shared" si="47"/>
        <v>600</v>
      </c>
      <c r="CJ80" s="3">
        <f t="shared" si="47"/>
        <v>600</v>
      </c>
      <c r="CK80" s="3">
        <f t="shared" si="47"/>
        <v>600</v>
      </c>
      <c r="CL80" s="3">
        <f t="shared" si="47"/>
        <v>600</v>
      </c>
      <c r="CM80" s="3">
        <f t="shared" si="47"/>
        <v>600</v>
      </c>
      <c r="CN80" s="3">
        <f t="shared" si="47"/>
        <v>600</v>
      </c>
      <c r="CO80" s="3">
        <f t="shared" si="47"/>
        <v>600</v>
      </c>
      <c r="CP80" s="3">
        <f t="shared" si="111"/>
        <v>600</v>
      </c>
      <c r="CQ80" s="3">
        <v>0</v>
      </c>
      <c r="CR80" s="3">
        <f t="shared" ref="CR80:DA82" si="128">$L$2/($L$3-$L$4*CQ80)</f>
        <v>0.34883720930232553</v>
      </c>
      <c r="CS80" s="3">
        <f t="shared" si="128"/>
        <v>0.39716748768472904</v>
      </c>
      <c r="CT80" s="3">
        <f t="shared" si="128"/>
        <v>0.40494040593779607</v>
      </c>
      <c r="CU80" s="3">
        <f t="shared" si="128"/>
        <v>0.4062190081621499</v>
      </c>
      <c r="CV80" s="3">
        <f t="shared" si="128"/>
        <v>0.40643010492156101</v>
      </c>
      <c r="CW80" s="3">
        <f t="shared" si="128"/>
        <v>0.40646497802255066</v>
      </c>
      <c r="CX80" s="3">
        <f t="shared" si="128"/>
        <v>0.40647073962099717</v>
      </c>
      <c r="CY80" s="3">
        <f t="shared" si="128"/>
        <v>0.40647169154566137</v>
      </c>
      <c r="CZ80" s="3">
        <f t="shared" si="128"/>
        <v>0.40647184882198806</v>
      </c>
      <c r="DA80" s="3">
        <f t="shared" si="128"/>
        <v>0.40647187480708435</v>
      </c>
      <c r="DB80" s="3">
        <f t="shared" si="113"/>
        <v>650</v>
      </c>
      <c r="DC80" s="3">
        <f t="shared" si="49"/>
        <v>650</v>
      </c>
      <c r="DD80" s="3">
        <f t="shared" si="49"/>
        <v>650</v>
      </c>
      <c r="DE80" s="3">
        <f t="shared" si="49"/>
        <v>650</v>
      </c>
      <c r="DF80" s="3">
        <f t="shared" si="49"/>
        <v>650</v>
      </c>
      <c r="DG80" s="3">
        <f t="shared" si="49"/>
        <v>650</v>
      </c>
      <c r="DH80" s="3">
        <f t="shared" si="49"/>
        <v>650</v>
      </c>
      <c r="DI80" s="3">
        <f t="shared" si="49"/>
        <v>650</v>
      </c>
      <c r="DJ80" s="3">
        <f t="shared" si="49"/>
        <v>650</v>
      </c>
      <c r="DK80" s="3">
        <f t="shared" si="49"/>
        <v>650</v>
      </c>
      <c r="DL80" s="5">
        <v>49</v>
      </c>
      <c r="DM80" s="6">
        <f t="shared" si="50"/>
        <v>0.44444444444444442</v>
      </c>
      <c r="DQ80" s="94"/>
      <c r="DR80" s="95"/>
      <c r="DS80" s="5">
        <v>49</v>
      </c>
      <c r="DT80" s="6">
        <f t="shared" si="51"/>
        <v>0.44444444444444442</v>
      </c>
      <c r="DU80" s="3">
        <f t="shared" si="52"/>
        <v>600</v>
      </c>
      <c r="DV80" s="3">
        <f t="shared" si="52"/>
        <v>600</v>
      </c>
      <c r="DW80" s="3">
        <f t="shared" si="52"/>
        <v>600</v>
      </c>
      <c r="DX80" s="3">
        <f t="shared" si="52"/>
        <v>600</v>
      </c>
      <c r="DY80" s="3">
        <f t="shared" si="52"/>
        <v>600</v>
      </c>
      <c r="DZ80" s="3">
        <f t="shared" si="52"/>
        <v>600</v>
      </c>
      <c r="EA80" s="3">
        <f t="shared" si="52"/>
        <v>600</v>
      </c>
      <c r="EB80" s="3">
        <f t="shared" si="52"/>
        <v>600</v>
      </c>
      <c r="EC80" s="3">
        <f t="shared" si="52"/>
        <v>600</v>
      </c>
      <c r="ED80" s="3">
        <f t="shared" si="114"/>
        <v>600</v>
      </c>
      <c r="EE80" s="3">
        <f>Q80</f>
        <v>696.24325367907409</v>
      </c>
      <c r="EF80" s="3">
        <f t="shared" si="115"/>
        <v>455.05447094684291</v>
      </c>
      <c r="EG80" s="3">
        <f t="shared" si="116"/>
        <v>422.78405531242947</v>
      </c>
      <c r="EH80" s="3">
        <f t="shared" si="117"/>
        <v>418.71070636021494</v>
      </c>
      <c r="EI80" s="3">
        <f t="shared" si="118"/>
        <v>419.0939246188052</v>
      </c>
      <c r="EJ80" s="3">
        <f t="shared" si="119"/>
        <v>420.08587399601299</v>
      </c>
      <c r="EK80" s="3">
        <f t="shared" si="120"/>
        <v>421.04323621293264</v>
      </c>
      <c r="EL80" s="3">
        <f t="shared" si="121"/>
        <v>421.86320907865951</v>
      </c>
      <c r="EM80" s="3">
        <f t="shared" si="122"/>
        <v>422.64013258502791</v>
      </c>
      <c r="EN80" s="3">
        <f t="shared" si="123"/>
        <v>423.69397447582486</v>
      </c>
      <c r="EO80" s="3">
        <f t="shared" si="124"/>
        <v>172.21968414965346</v>
      </c>
      <c r="EP80" s="3">
        <f t="shared" si="125"/>
        <v>650</v>
      </c>
      <c r="EQ80" s="3">
        <f t="shared" si="54"/>
        <v>650</v>
      </c>
      <c r="ER80" s="3">
        <f t="shared" si="54"/>
        <v>650</v>
      </c>
      <c r="ES80" s="3">
        <f t="shared" si="54"/>
        <v>650</v>
      </c>
      <c r="ET80" s="3">
        <f t="shared" si="54"/>
        <v>650</v>
      </c>
      <c r="EU80" s="3">
        <f t="shared" si="54"/>
        <v>650</v>
      </c>
      <c r="EV80" s="3">
        <f t="shared" si="54"/>
        <v>650</v>
      </c>
      <c r="EW80" s="3">
        <f t="shared" si="54"/>
        <v>650</v>
      </c>
      <c r="EX80" s="3">
        <f t="shared" si="54"/>
        <v>650</v>
      </c>
      <c r="EY80" s="3">
        <f t="shared" si="54"/>
        <v>650</v>
      </c>
      <c r="EZ80" s="5">
        <v>49</v>
      </c>
      <c r="FA80" s="6">
        <f t="shared" si="55"/>
        <v>0.44444444444444442</v>
      </c>
    </row>
    <row r="81" spans="3:157" x14ac:dyDescent="0.3">
      <c r="C81" s="94"/>
      <c r="D81" s="95"/>
      <c r="E81" s="5">
        <v>48</v>
      </c>
      <c r="F81" s="6">
        <f t="shared" si="36"/>
        <v>0.43518518518518517</v>
      </c>
      <c r="G81" s="3">
        <f t="shared" si="37"/>
        <v>600</v>
      </c>
      <c r="H81" s="3">
        <f t="shared" si="37"/>
        <v>600</v>
      </c>
      <c r="I81" s="3">
        <f t="shared" si="37"/>
        <v>600</v>
      </c>
      <c r="J81" s="3">
        <f t="shared" si="37"/>
        <v>600</v>
      </c>
      <c r="K81" s="3">
        <f t="shared" si="37"/>
        <v>600</v>
      </c>
      <c r="L81" s="3">
        <f t="shared" si="37"/>
        <v>600</v>
      </c>
      <c r="M81" s="3">
        <f t="shared" si="37"/>
        <v>600</v>
      </c>
      <c r="N81" s="3">
        <f t="shared" si="37"/>
        <v>600</v>
      </c>
      <c r="O81" s="3">
        <f t="shared" si="37"/>
        <v>600</v>
      </c>
      <c r="P81" s="3">
        <f t="shared" si="87"/>
        <v>600</v>
      </c>
      <c r="Q81" s="3">
        <f t="shared" ref="Q81:Q119" si="129">$R$2</f>
        <v>600</v>
      </c>
      <c r="R81" s="3">
        <f t="shared" si="126"/>
        <v>680.84635497514932</v>
      </c>
      <c r="S81" s="3">
        <f t="shared" ref="S81" si="130">CS81*T81+EG81</f>
        <v>683.83200753768938</v>
      </c>
      <c r="T81" s="3">
        <f t="shared" ref="T81" si="131">CT81*U81+EH81</f>
        <v>685.34337980060695</v>
      </c>
      <c r="U81" s="3">
        <f t="shared" ref="U81" si="132">CU81*V81+EI81</f>
        <v>686.94043167706218</v>
      </c>
      <c r="V81" s="3">
        <f t="shared" ref="V81" si="133">CV81*W81+EJ81</f>
        <v>688.54286397522105</v>
      </c>
      <c r="W81" s="3">
        <f t="shared" ref="W81" si="134">CW81*X81+EK81</f>
        <v>690.13132525587093</v>
      </c>
      <c r="X81" s="3">
        <f t="shared" ref="X81" si="135">CX81*Y81+EL81</f>
        <v>691.75520456042261</v>
      </c>
      <c r="Y81" s="3">
        <f t="shared" ref="Y81" si="136">CY81*Z81+EM81</f>
        <v>693.52667001221994</v>
      </c>
      <c r="Z81" s="3">
        <f t="shared" si="127"/>
        <v>693.59563328575302</v>
      </c>
      <c r="AA81" s="3">
        <f t="shared" ref="AA81:AA119" si="137">$R$3</f>
        <v>650</v>
      </c>
      <c r="AB81" s="3">
        <f t="shared" si="99"/>
        <v>650</v>
      </c>
      <c r="AC81" s="3">
        <f t="shared" si="39"/>
        <v>650</v>
      </c>
      <c r="AD81" s="3">
        <f t="shared" si="39"/>
        <v>650</v>
      </c>
      <c r="AE81" s="3">
        <f t="shared" si="39"/>
        <v>650</v>
      </c>
      <c r="AF81" s="3">
        <f t="shared" si="39"/>
        <v>650</v>
      </c>
      <c r="AG81" s="3">
        <f t="shared" si="39"/>
        <v>650</v>
      </c>
      <c r="AH81" s="3">
        <f t="shared" si="39"/>
        <v>650</v>
      </c>
      <c r="AI81" s="3">
        <f t="shared" si="39"/>
        <v>650</v>
      </c>
      <c r="AJ81" s="3">
        <f t="shared" si="39"/>
        <v>650</v>
      </c>
      <c r="AK81" s="3">
        <f t="shared" si="39"/>
        <v>650</v>
      </c>
      <c r="AL81" s="5">
        <v>48</v>
      </c>
      <c r="AM81" s="6">
        <f t="shared" si="40"/>
        <v>0.43518518518518517</v>
      </c>
      <c r="AP81" s="102"/>
      <c r="AQ81" s="101"/>
      <c r="AR81" s="5">
        <v>48</v>
      </c>
      <c r="AS81" s="6">
        <f t="shared" si="41"/>
        <v>0.43518518518518517</v>
      </c>
      <c r="AT81" s="3">
        <f t="shared" si="42"/>
        <v>600</v>
      </c>
      <c r="AU81" s="3">
        <f t="shared" si="42"/>
        <v>600</v>
      </c>
      <c r="AV81" s="3">
        <f t="shared" si="42"/>
        <v>600</v>
      </c>
      <c r="AW81" s="3">
        <f t="shared" si="42"/>
        <v>600</v>
      </c>
      <c r="AX81" s="3">
        <f t="shared" si="42"/>
        <v>600</v>
      </c>
      <c r="AY81" s="3">
        <f t="shared" si="42"/>
        <v>600</v>
      </c>
      <c r="AZ81" s="3">
        <f t="shared" si="42"/>
        <v>600</v>
      </c>
      <c r="BA81" s="3">
        <f t="shared" si="42"/>
        <v>600</v>
      </c>
      <c r="BB81" s="3">
        <f t="shared" si="42"/>
        <v>600</v>
      </c>
      <c r="BC81" s="3">
        <f t="shared" si="100"/>
        <v>600</v>
      </c>
      <c r="BD81" s="68">
        <f t="shared" ref="BD81:BD119" si="138">$R$2</f>
        <v>600</v>
      </c>
      <c r="BE81" s="7"/>
      <c r="BF81" s="3">
        <f t="shared" ref="BF81" si="139">-($F$3*$F$2)/$B$8*S18</f>
        <v>-2459692763.4856663</v>
      </c>
      <c r="BG81" s="3">
        <f t="shared" ref="BG81:BG82" si="140">-($F$3*$F$2)/$B$8*T18</f>
        <v>-2458657333.1245313</v>
      </c>
      <c r="BH81" s="3">
        <f t="shared" ref="BH81:BH82" si="141">-($F$3*$F$2)/$B$8*U18</f>
        <v>-2464719993.9114451</v>
      </c>
      <c r="BI81" s="3">
        <f t="shared" ref="BI81:BI82" si="142">-($F$3*$F$2)/$B$8*V18</f>
        <v>-2470549635.9555812</v>
      </c>
      <c r="BJ81" s="3">
        <f t="shared" ref="BJ81:BJ82" si="143">-($F$3*$F$2)/$B$8*W18</f>
        <v>-2476044564.3991122</v>
      </c>
      <c r="BK81" s="3">
        <f t="shared" ref="BK81:BK82" si="144">-($F$3*$F$2)/$B$8*X18</f>
        <v>-2481406667.313199</v>
      </c>
      <c r="BL81" s="3">
        <f t="shared" ref="BL81" si="145">-($F$3*$F$2)/$B$8*Y18</f>
        <v>-2495422051.0218592</v>
      </c>
      <c r="BM81" s="7"/>
      <c r="BN81" s="68">
        <f t="shared" ref="BN81:BN119" si="146">$R$3</f>
        <v>650</v>
      </c>
      <c r="BO81" s="3">
        <f t="shared" si="110"/>
        <v>650</v>
      </c>
      <c r="BP81" s="3">
        <f t="shared" si="44"/>
        <v>650</v>
      </c>
      <c r="BQ81" s="3">
        <f t="shared" si="44"/>
        <v>650</v>
      </c>
      <c r="BR81" s="3">
        <f t="shared" si="44"/>
        <v>650</v>
      </c>
      <c r="BS81" s="3">
        <f t="shared" si="44"/>
        <v>650</v>
      </c>
      <c r="BT81" s="3">
        <f t="shared" si="44"/>
        <v>650</v>
      </c>
      <c r="BU81" s="3">
        <f t="shared" si="44"/>
        <v>650</v>
      </c>
      <c r="BV81" s="3">
        <f t="shared" si="44"/>
        <v>650</v>
      </c>
      <c r="BW81" s="3">
        <f t="shared" si="44"/>
        <v>650</v>
      </c>
      <c r="BX81" s="3">
        <f t="shared" si="44"/>
        <v>650</v>
      </c>
      <c r="BY81" s="5">
        <v>48</v>
      </c>
      <c r="BZ81" s="6">
        <f t="shared" si="45"/>
        <v>0.43518518518518517</v>
      </c>
      <c r="CC81" s="94"/>
      <c r="CD81" s="95"/>
      <c r="CE81" s="5">
        <v>48</v>
      </c>
      <c r="CF81" s="6">
        <f t="shared" si="46"/>
        <v>0.43518518518518517</v>
      </c>
      <c r="CG81" s="3">
        <f t="shared" si="47"/>
        <v>600</v>
      </c>
      <c r="CH81" s="3">
        <f t="shared" si="47"/>
        <v>600</v>
      </c>
      <c r="CI81" s="3">
        <f t="shared" si="47"/>
        <v>600</v>
      </c>
      <c r="CJ81" s="3">
        <f t="shared" si="47"/>
        <v>600</v>
      </c>
      <c r="CK81" s="3">
        <f t="shared" si="47"/>
        <v>600</v>
      </c>
      <c r="CL81" s="3">
        <f t="shared" si="47"/>
        <v>600</v>
      </c>
      <c r="CM81" s="3">
        <f t="shared" si="47"/>
        <v>600</v>
      </c>
      <c r="CN81" s="3">
        <f t="shared" si="47"/>
        <v>600</v>
      </c>
      <c r="CO81" s="3">
        <f t="shared" si="47"/>
        <v>600</v>
      </c>
      <c r="CP81" s="3">
        <f t="shared" si="111"/>
        <v>600</v>
      </c>
      <c r="CQ81" s="3">
        <f t="shared" ref="CQ81:CQ119" si="147">$R$2</f>
        <v>600</v>
      </c>
      <c r="CR81" s="3">
        <v>0</v>
      </c>
      <c r="CS81" s="3">
        <f t="shared" si="128"/>
        <v>0.34883720930232553</v>
      </c>
      <c r="CT81" s="3">
        <f t="shared" si="128"/>
        <v>0.39716748768472904</v>
      </c>
      <c r="CU81" s="3">
        <f t="shared" si="128"/>
        <v>0.40494040593779607</v>
      </c>
      <c r="CV81" s="3">
        <f t="shared" si="128"/>
        <v>0.4062190081621499</v>
      </c>
      <c r="CW81" s="3">
        <f t="shared" si="128"/>
        <v>0.40643010492156101</v>
      </c>
      <c r="CX81" s="3">
        <f t="shared" si="128"/>
        <v>0.40646497802255066</v>
      </c>
      <c r="CY81" s="3">
        <f t="shared" si="128"/>
        <v>0.40647073962099717</v>
      </c>
      <c r="CZ81" s="3">
        <f t="shared" si="128"/>
        <v>0.40647169154566137</v>
      </c>
      <c r="DA81" s="3">
        <f t="shared" ref="DA81:DA119" si="148">$R$3</f>
        <v>650</v>
      </c>
      <c r="DB81" s="3">
        <f t="shared" si="113"/>
        <v>650</v>
      </c>
      <c r="DC81" s="3">
        <f t="shared" si="49"/>
        <v>650</v>
      </c>
      <c r="DD81" s="3">
        <f t="shared" si="49"/>
        <v>650</v>
      </c>
      <c r="DE81" s="3">
        <f t="shared" si="49"/>
        <v>650</v>
      </c>
      <c r="DF81" s="3">
        <f t="shared" si="49"/>
        <v>650</v>
      </c>
      <c r="DG81" s="3">
        <f t="shared" si="49"/>
        <v>650</v>
      </c>
      <c r="DH81" s="3">
        <f t="shared" si="49"/>
        <v>650</v>
      </c>
      <c r="DI81" s="3">
        <f t="shared" si="49"/>
        <v>650</v>
      </c>
      <c r="DJ81" s="3">
        <f t="shared" si="49"/>
        <v>650</v>
      </c>
      <c r="DK81" s="3">
        <f t="shared" si="49"/>
        <v>650</v>
      </c>
      <c r="DL81" s="5">
        <v>48</v>
      </c>
      <c r="DM81" s="6">
        <f t="shared" si="50"/>
        <v>0.43518518518518517</v>
      </c>
      <c r="DQ81" s="94"/>
      <c r="DR81" s="95"/>
      <c r="DS81" s="5">
        <v>48</v>
      </c>
      <c r="DT81" s="6">
        <f t="shared" si="51"/>
        <v>0.43518518518518517</v>
      </c>
      <c r="DU81" s="3">
        <f t="shared" si="52"/>
        <v>600</v>
      </c>
      <c r="DV81" s="3">
        <f t="shared" si="52"/>
        <v>600</v>
      </c>
      <c r="DW81" s="3">
        <f t="shared" si="52"/>
        <v>600</v>
      </c>
      <c r="DX81" s="3">
        <f t="shared" si="52"/>
        <v>600</v>
      </c>
      <c r="DY81" s="3">
        <f t="shared" si="52"/>
        <v>600</v>
      </c>
      <c r="DZ81" s="3">
        <f t="shared" si="52"/>
        <v>600</v>
      </c>
      <c r="EA81" s="3">
        <f t="shared" si="52"/>
        <v>600</v>
      </c>
      <c r="EB81" s="3">
        <f t="shared" si="52"/>
        <v>600</v>
      </c>
      <c r="EC81" s="3">
        <f t="shared" si="52"/>
        <v>600</v>
      </c>
      <c r="ED81" s="3">
        <f t="shared" si="114"/>
        <v>600</v>
      </c>
      <c r="EE81" s="3">
        <f t="shared" ref="EE81:EE119" si="149">$R$2</f>
        <v>600</v>
      </c>
      <c r="EF81" s="3">
        <f>R81</f>
        <v>680.84635497514932</v>
      </c>
      <c r="EG81" s="3">
        <f t="shared" ref="EG81" si="150">(EF81*$L$4-BF81)/($L$3-$L$4*CR81)</f>
        <v>444.75873551422183</v>
      </c>
      <c r="EH81" s="3">
        <f t="shared" ref="EH81" si="151">(EG81*$L$4-BG81)/($L$3-$L$4*CS81)</f>
        <v>412.51297436236484</v>
      </c>
      <c r="EI81" s="3">
        <f t="shared" ref="EI81" si="152">(EH81*$L$4-BH81)/($L$3-$L$4*CT81)</f>
        <v>408.12160483336339</v>
      </c>
      <c r="EJ81" s="3">
        <f t="shared" ref="EJ81" si="153">(EI81*$L$4-BI81)/($L$3-$L$4*CU81)</f>
        <v>408.19840152815107</v>
      </c>
      <c r="EK81" s="3">
        <f t="shared" ref="EK81" si="154">(EJ81*$L$4-BJ81)/($L$3-$L$4*CV81)</f>
        <v>408.98118488634253</v>
      </c>
      <c r="EL81" s="3">
        <f t="shared" ref="EL81" si="155">(EK81*$L$4-BK81)/($L$3-$L$4*CW81)</f>
        <v>409.8609018758529</v>
      </c>
      <c r="EM81" s="3">
        <f t="shared" ref="EM81" si="156">(EL81*$L$4-BL81)/($L$3-$L$4*CX81)</f>
        <v>411.60033995266605</v>
      </c>
      <c r="EN81" s="3">
        <f t="shared" ref="EN81" si="157">(EM81*$L$4-BM81)/($L$3-$L$4*CY81)</f>
        <v>167.30388642132942</v>
      </c>
      <c r="EO81" s="3">
        <f t="shared" ref="EO81:EO119" si="158">$R$3</f>
        <v>650</v>
      </c>
      <c r="EP81" s="3">
        <f t="shared" si="125"/>
        <v>650</v>
      </c>
      <c r="EQ81" s="3">
        <f t="shared" si="54"/>
        <v>650</v>
      </c>
      <c r="ER81" s="3">
        <f t="shared" si="54"/>
        <v>650</v>
      </c>
      <c r="ES81" s="3">
        <f t="shared" si="54"/>
        <v>650</v>
      </c>
      <c r="ET81" s="3">
        <f t="shared" si="54"/>
        <v>650</v>
      </c>
      <c r="EU81" s="3">
        <f t="shared" si="54"/>
        <v>650</v>
      </c>
      <c r="EV81" s="3">
        <f t="shared" si="54"/>
        <v>650</v>
      </c>
      <c r="EW81" s="3">
        <f t="shared" si="54"/>
        <v>650</v>
      </c>
      <c r="EX81" s="3">
        <f t="shared" si="54"/>
        <v>650</v>
      </c>
      <c r="EY81" s="3">
        <f t="shared" si="54"/>
        <v>650</v>
      </c>
      <c r="EZ81" s="5">
        <v>48</v>
      </c>
      <c r="FA81" s="6">
        <f t="shared" si="55"/>
        <v>0.43518518518518517</v>
      </c>
    </row>
    <row r="82" spans="3:157" x14ac:dyDescent="0.3">
      <c r="C82" s="94"/>
      <c r="D82" s="95"/>
      <c r="E82" s="5">
        <v>47</v>
      </c>
      <c r="F82" s="6">
        <f t="shared" si="36"/>
        <v>0.42592592592592593</v>
      </c>
      <c r="G82" s="3">
        <f t="shared" si="37"/>
        <v>600</v>
      </c>
      <c r="H82" s="3">
        <f t="shared" si="37"/>
        <v>600</v>
      </c>
      <c r="I82" s="3">
        <f t="shared" si="37"/>
        <v>600</v>
      </c>
      <c r="J82" s="3">
        <f t="shared" si="37"/>
        <v>600</v>
      </c>
      <c r="K82" s="3">
        <f t="shared" si="37"/>
        <v>600</v>
      </c>
      <c r="L82" s="3">
        <f t="shared" si="37"/>
        <v>600</v>
      </c>
      <c r="M82" s="3">
        <f t="shared" si="37"/>
        <v>600</v>
      </c>
      <c r="N82" s="3">
        <f t="shared" si="37"/>
        <v>600</v>
      </c>
      <c r="O82" s="3">
        <f t="shared" si="37"/>
        <v>600</v>
      </c>
      <c r="P82" s="3">
        <f t="shared" si="87"/>
        <v>600</v>
      </c>
      <c r="Q82" s="3">
        <f t="shared" si="129"/>
        <v>600</v>
      </c>
      <c r="R82" s="3">
        <f t="shared" ref="R82:R117" si="159">$R$2</f>
        <v>600</v>
      </c>
      <c r="S82" s="3">
        <f t="shared" si="126"/>
        <v>661.03461642916602</v>
      </c>
      <c r="T82" s="3">
        <f t="shared" ref="T82" si="160">CT82*U82+EH82</f>
        <v>663.82747899046467</v>
      </c>
      <c r="U82" s="3">
        <f t="shared" ref="U82" si="161">CU82*V82+EI82</f>
        <v>665.97434895579067</v>
      </c>
      <c r="V82" s="3">
        <f t="shared" ref="V82" si="162">CV82*W82+EJ82</f>
        <v>667.63215932910146</v>
      </c>
      <c r="W82" s="3">
        <f t="shared" ref="W82" si="163">CW82*X82+EK82</f>
        <v>668.81358023123767</v>
      </c>
      <c r="X82" s="3">
        <f t="shared" ref="X82" si="164">CX82*Y82+EL82</f>
        <v>669.49293875723311</v>
      </c>
      <c r="Y82" s="3">
        <f t="shared" si="127"/>
        <v>669.46397450704205</v>
      </c>
      <c r="Z82" s="3">
        <f t="shared" ref="Z82:Z117" si="165">$R$3</f>
        <v>650</v>
      </c>
      <c r="AA82" s="3">
        <f t="shared" si="137"/>
        <v>650</v>
      </c>
      <c r="AB82" s="3">
        <f t="shared" si="99"/>
        <v>650</v>
      </c>
      <c r="AC82" s="3">
        <f t="shared" si="39"/>
        <v>650</v>
      </c>
      <c r="AD82" s="3">
        <f t="shared" si="39"/>
        <v>650</v>
      </c>
      <c r="AE82" s="3">
        <f t="shared" si="39"/>
        <v>650</v>
      </c>
      <c r="AF82" s="3">
        <f t="shared" si="39"/>
        <v>650</v>
      </c>
      <c r="AG82" s="3">
        <f t="shared" si="39"/>
        <v>650</v>
      </c>
      <c r="AH82" s="3">
        <f t="shared" si="39"/>
        <v>650</v>
      </c>
      <c r="AI82" s="3">
        <f t="shared" si="39"/>
        <v>650</v>
      </c>
      <c r="AJ82" s="3">
        <f t="shared" si="39"/>
        <v>650</v>
      </c>
      <c r="AK82" s="3">
        <f t="shared" si="39"/>
        <v>650</v>
      </c>
      <c r="AL82" s="5">
        <v>47</v>
      </c>
      <c r="AM82" s="6">
        <f t="shared" si="40"/>
        <v>0.42592592592592593</v>
      </c>
      <c r="AP82" s="102"/>
      <c r="AQ82" s="101"/>
      <c r="AR82" s="5">
        <v>47</v>
      </c>
      <c r="AS82" s="6">
        <f t="shared" si="41"/>
        <v>0.42592592592592593</v>
      </c>
      <c r="AT82" s="3">
        <f t="shared" si="42"/>
        <v>600</v>
      </c>
      <c r="AU82" s="3">
        <f t="shared" si="42"/>
        <v>600</v>
      </c>
      <c r="AV82" s="3">
        <f t="shared" si="42"/>
        <v>600</v>
      </c>
      <c r="AW82" s="3">
        <f t="shared" si="42"/>
        <v>600</v>
      </c>
      <c r="AX82" s="3">
        <f t="shared" si="42"/>
        <v>600</v>
      </c>
      <c r="AY82" s="3">
        <f t="shared" si="42"/>
        <v>600</v>
      </c>
      <c r="AZ82" s="3">
        <f t="shared" si="42"/>
        <v>600</v>
      </c>
      <c r="BA82" s="3">
        <f t="shared" si="42"/>
        <v>600</v>
      </c>
      <c r="BB82" s="3">
        <f t="shared" si="42"/>
        <v>600</v>
      </c>
      <c r="BC82" s="3">
        <f t="shared" si="100"/>
        <v>600</v>
      </c>
      <c r="BD82" s="3">
        <f t="shared" si="138"/>
        <v>600</v>
      </c>
      <c r="BE82" s="3">
        <f t="shared" ref="BE82:BE117" si="166">$R$2</f>
        <v>600</v>
      </c>
      <c r="BF82" s="7"/>
      <c r="BG82" s="67">
        <f t="shared" si="140"/>
        <v>-2384487403.9651141</v>
      </c>
      <c r="BH82" s="3">
        <f t="shared" si="141"/>
        <v>-2391540670.7643189</v>
      </c>
      <c r="BI82" s="3">
        <f t="shared" si="142"/>
        <v>-2397436440.0834785</v>
      </c>
      <c r="BJ82" s="3">
        <f t="shared" si="143"/>
        <v>-2401781664.1069036</v>
      </c>
      <c r="BK82" s="67">
        <f t="shared" si="144"/>
        <v>-2405073120.5543656</v>
      </c>
      <c r="BL82" s="7"/>
      <c r="BM82" s="3">
        <f t="shared" ref="BM82:BM117" si="167">$R$3</f>
        <v>650</v>
      </c>
      <c r="BN82" s="3">
        <f t="shared" si="146"/>
        <v>650</v>
      </c>
      <c r="BO82" s="3">
        <f t="shared" si="110"/>
        <v>650</v>
      </c>
      <c r="BP82" s="3">
        <f t="shared" si="44"/>
        <v>650</v>
      </c>
      <c r="BQ82" s="3">
        <f t="shared" si="44"/>
        <v>650</v>
      </c>
      <c r="BR82" s="3">
        <f t="shared" si="44"/>
        <v>650</v>
      </c>
      <c r="BS82" s="3">
        <f t="shared" si="44"/>
        <v>650</v>
      </c>
      <c r="BT82" s="3">
        <f t="shared" si="44"/>
        <v>650</v>
      </c>
      <c r="BU82" s="3">
        <f t="shared" si="44"/>
        <v>650</v>
      </c>
      <c r="BV82" s="3">
        <f t="shared" si="44"/>
        <v>650</v>
      </c>
      <c r="BW82" s="3">
        <f t="shared" si="44"/>
        <v>650</v>
      </c>
      <c r="BX82" s="3">
        <f t="shared" si="44"/>
        <v>650</v>
      </c>
      <c r="BY82" s="5">
        <v>47</v>
      </c>
      <c r="BZ82" s="6">
        <f t="shared" si="45"/>
        <v>0.42592592592592593</v>
      </c>
      <c r="CC82" s="94"/>
      <c r="CD82" s="95"/>
      <c r="CE82" s="5">
        <v>47</v>
      </c>
      <c r="CF82" s="6">
        <f t="shared" si="46"/>
        <v>0.42592592592592593</v>
      </c>
      <c r="CG82" s="3">
        <f t="shared" si="47"/>
        <v>600</v>
      </c>
      <c r="CH82" s="3">
        <f t="shared" si="47"/>
        <v>600</v>
      </c>
      <c r="CI82" s="3">
        <f t="shared" si="47"/>
        <v>600</v>
      </c>
      <c r="CJ82" s="3">
        <f t="shared" si="47"/>
        <v>600</v>
      </c>
      <c r="CK82" s="3">
        <f t="shared" si="47"/>
        <v>600</v>
      </c>
      <c r="CL82" s="3">
        <f t="shared" si="47"/>
        <v>600</v>
      </c>
      <c r="CM82" s="3">
        <f t="shared" si="47"/>
        <v>600</v>
      </c>
      <c r="CN82" s="3">
        <f t="shared" si="47"/>
        <v>600</v>
      </c>
      <c r="CO82" s="3">
        <f t="shared" si="47"/>
        <v>600</v>
      </c>
      <c r="CP82" s="3">
        <f t="shared" si="111"/>
        <v>600</v>
      </c>
      <c r="CQ82" s="3">
        <f t="shared" si="147"/>
        <v>600</v>
      </c>
      <c r="CR82" s="3">
        <f t="shared" ref="CR82:CR117" si="168">$R$2</f>
        <v>600</v>
      </c>
      <c r="CS82" s="3">
        <v>0</v>
      </c>
      <c r="CT82" s="3">
        <f t="shared" si="128"/>
        <v>0.34883720930232553</v>
      </c>
      <c r="CU82" s="3">
        <f t="shared" si="128"/>
        <v>0.39716748768472904</v>
      </c>
      <c r="CV82" s="3">
        <f t="shared" si="128"/>
        <v>0.40494040593779607</v>
      </c>
      <c r="CW82" s="3">
        <f t="shared" si="128"/>
        <v>0.4062190081621499</v>
      </c>
      <c r="CX82" s="3">
        <f t="shared" si="128"/>
        <v>0.40643010492156101</v>
      </c>
      <c r="CY82" s="3">
        <f t="shared" si="128"/>
        <v>0.40646497802255066</v>
      </c>
      <c r="CZ82" s="3">
        <f t="shared" ref="CZ82:CZ117" si="169">$R$3</f>
        <v>650</v>
      </c>
      <c r="DA82" s="3">
        <f t="shared" si="148"/>
        <v>650</v>
      </c>
      <c r="DB82" s="3">
        <f t="shared" si="113"/>
        <v>650</v>
      </c>
      <c r="DC82" s="3">
        <f t="shared" si="49"/>
        <v>650</v>
      </c>
      <c r="DD82" s="3">
        <f t="shared" si="49"/>
        <v>650</v>
      </c>
      <c r="DE82" s="3">
        <f t="shared" si="49"/>
        <v>650</v>
      </c>
      <c r="DF82" s="3">
        <f t="shared" si="49"/>
        <v>650</v>
      </c>
      <c r="DG82" s="3">
        <f t="shared" si="49"/>
        <v>650</v>
      </c>
      <c r="DH82" s="3">
        <f t="shared" si="49"/>
        <v>650</v>
      </c>
      <c r="DI82" s="3">
        <f t="shared" si="49"/>
        <v>650</v>
      </c>
      <c r="DJ82" s="3">
        <f t="shared" si="49"/>
        <v>650</v>
      </c>
      <c r="DK82" s="3">
        <f t="shared" si="49"/>
        <v>650</v>
      </c>
      <c r="DL82" s="5">
        <v>47</v>
      </c>
      <c r="DM82" s="6">
        <f t="shared" si="50"/>
        <v>0.42592592592592593</v>
      </c>
      <c r="DQ82" s="94"/>
      <c r="DR82" s="95"/>
      <c r="DS82" s="5">
        <v>47</v>
      </c>
      <c r="DT82" s="6">
        <f t="shared" si="51"/>
        <v>0.42592592592592593</v>
      </c>
      <c r="DU82" s="3">
        <f t="shared" si="52"/>
        <v>600</v>
      </c>
      <c r="DV82" s="3">
        <f t="shared" si="52"/>
        <v>600</v>
      </c>
      <c r="DW82" s="3">
        <f t="shared" si="52"/>
        <v>600</v>
      </c>
      <c r="DX82" s="3">
        <f t="shared" si="52"/>
        <v>600</v>
      </c>
      <c r="DY82" s="3">
        <f t="shared" si="52"/>
        <v>600</v>
      </c>
      <c r="DZ82" s="3">
        <f t="shared" si="52"/>
        <v>600</v>
      </c>
      <c r="EA82" s="3">
        <f t="shared" si="52"/>
        <v>600</v>
      </c>
      <c r="EB82" s="3">
        <f t="shared" si="52"/>
        <v>600</v>
      </c>
      <c r="EC82" s="3">
        <f t="shared" si="52"/>
        <v>600</v>
      </c>
      <c r="ED82" s="3">
        <f t="shared" si="114"/>
        <v>600</v>
      </c>
      <c r="EE82" s="3">
        <f t="shared" si="149"/>
        <v>600</v>
      </c>
      <c r="EF82" s="3">
        <f t="shared" ref="EF82:EF117" si="170">$R$2</f>
        <v>600</v>
      </c>
      <c r="EG82" s="3">
        <f>S82</f>
        <v>661.03461642916602</v>
      </c>
      <c r="EH82" s="3">
        <f t="shared" ref="EH82" si="171">(EG82*$L$4-BG82)/($L$3-$L$4*CS82)</f>
        <v>431.51084563379356</v>
      </c>
      <c r="EI82" s="3">
        <f t="shared" ref="EI82" si="172">(EH82*$L$4-BH82)/($L$3-$L$4*CT82)</f>
        <v>400.81256153752065</v>
      </c>
      <c r="EJ82" s="3">
        <f t="shared" ref="EJ82" si="173">(EI82*$L$4-BI82)/($L$3-$L$4*CU82)</f>
        <v>396.80251665355331</v>
      </c>
      <c r="EK82" s="3">
        <f t="shared" ref="EK82" si="174">(EJ82*$L$4-BJ82)/($L$3-$L$4*CV82)</f>
        <v>396.85282267771146</v>
      </c>
      <c r="EL82" s="3">
        <f t="shared" ref="EL82" si="175">(EK82*$L$4-BK82)/($L$3-$L$4*CW82)</f>
        <v>397.40262535713083</v>
      </c>
      <c r="EM82" s="3">
        <f t="shared" ref="EM82" si="176">(EL82*$L$4-BL82)/($L$3-$L$4*CX82)</f>
        <v>161.53024938189012</v>
      </c>
      <c r="EN82" s="3">
        <f t="shared" ref="EN82:EN117" si="177">$R$3</f>
        <v>650</v>
      </c>
      <c r="EO82" s="3">
        <f t="shared" si="158"/>
        <v>650</v>
      </c>
      <c r="EP82" s="3">
        <f t="shared" si="125"/>
        <v>650</v>
      </c>
      <c r="EQ82" s="3">
        <f t="shared" si="54"/>
        <v>650</v>
      </c>
      <c r="ER82" s="3">
        <f t="shared" si="54"/>
        <v>650</v>
      </c>
      <c r="ES82" s="3">
        <f t="shared" si="54"/>
        <v>650</v>
      </c>
      <c r="ET82" s="3">
        <f t="shared" si="54"/>
        <v>650</v>
      </c>
      <c r="EU82" s="3">
        <f t="shared" si="54"/>
        <v>650</v>
      </c>
      <c r="EV82" s="3">
        <f t="shared" si="54"/>
        <v>650</v>
      </c>
      <c r="EW82" s="3">
        <f t="shared" si="54"/>
        <v>650</v>
      </c>
      <c r="EX82" s="3">
        <f t="shared" si="54"/>
        <v>650</v>
      </c>
      <c r="EY82" s="3">
        <f t="shared" si="54"/>
        <v>650</v>
      </c>
      <c r="EZ82" s="5">
        <v>47</v>
      </c>
      <c r="FA82" s="6">
        <f t="shared" si="55"/>
        <v>0.42592592592592593</v>
      </c>
    </row>
    <row r="83" spans="3:157" x14ac:dyDescent="0.3">
      <c r="C83" s="94"/>
      <c r="D83" s="95"/>
      <c r="E83" s="5">
        <v>46</v>
      </c>
      <c r="F83" s="6">
        <f t="shared" si="36"/>
        <v>0.41666666666666663</v>
      </c>
      <c r="G83" s="3">
        <f t="shared" si="37"/>
        <v>600</v>
      </c>
      <c r="H83" s="3">
        <f t="shared" si="37"/>
        <v>600</v>
      </c>
      <c r="I83" s="3">
        <f t="shared" si="37"/>
        <v>600</v>
      </c>
      <c r="J83" s="3">
        <f t="shared" si="37"/>
        <v>600</v>
      </c>
      <c r="K83" s="3">
        <f t="shared" si="37"/>
        <v>600</v>
      </c>
      <c r="L83" s="3">
        <f t="shared" si="37"/>
        <v>600</v>
      </c>
      <c r="M83" s="3">
        <f t="shared" si="37"/>
        <v>600</v>
      </c>
      <c r="N83" s="3">
        <f t="shared" si="37"/>
        <v>600</v>
      </c>
      <c r="O83" s="3">
        <f t="shared" si="37"/>
        <v>600</v>
      </c>
      <c r="P83" s="3">
        <f t="shared" si="87"/>
        <v>600</v>
      </c>
      <c r="Q83" s="3">
        <f t="shared" si="129"/>
        <v>600</v>
      </c>
      <c r="R83" s="3">
        <f t="shared" si="159"/>
        <v>600</v>
      </c>
      <c r="S83" s="3">
        <f t="shared" ref="S83:S115" si="178">$R$2</f>
        <v>600</v>
      </c>
      <c r="T83" s="3">
        <f t="shared" ref="T83" si="179">($F$5*$B$5*S20+$F$4*U20)/($F$4+$F$5*$B$5)</f>
        <v>647.1821164884924</v>
      </c>
      <c r="U83" s="3">
        <f t="shared" ref="U83:U84" si="180">CU83*V83+EI83</f>
        <v>649.29948618771709</v>
      </c>
      <c r="V83" s="3">
        <f t="shared" ref="U83:AB128" si="181">CV83*W83+EJ83</f>
        <v>650.88140715535053</v>
      </c>
      <c r="W83" s="3">
        <f t="shared" ref="W83:W84" si="182">CW83*X83+EK83</f>
        <v>651.94352746195113</v>
      </c>
      <c r="X83" s="3">
        <f t="shared" ref="X83" si="183">($F$6*$B$5*Y20+$F$4*W20)/($F$4+$F$6*$B$5)</f>
        <v>652.46280546616993</v>
      </c>
      <c r="Y83" s="3">
        <f t="shared" ref="Y83:Y115" si="184">$R$3</f>
        <v>650</v>
      </c>
      <c r="Z83" s="3">
        <f t="shared" si="165"/>
        <v>650</v>
      </c>
      <c r="AA83" s="3">
        <f t="shared" si="137"/>
        <v>650</v>
      </c>
      <c r="AB83" s="3">
        <f t="shared" si="99"/>
        <v>650</v>
      </c>
      <c r="AC83" s="3">
        <f t="shared" si="39"/>
        <v>650</v>
      </c>
      <c r="AD83" s="3">
        <f t="shared" si="39"/>
        <v>650</v>
      </c>
      <c r="AE83" s="3">
        <f t="shared" si="39"/>
        <v>650</v>
      </c>
      <c r="AF83" s="3">
        <f t="shared" si="39"/>
        <v>650</v>
      </c>
      <c r="AG83" s="3">
        <f t="shared" si="39"/>
        <v>650</v>
      </c>
      <c r="AH83" s="3">
        <f t="shared" si="39"/>
        <v>650</v>
      </c>
      <c r="AI83" s="3">
        <f t="shared" si="39"/>
        <v>650</v>
      </c>
      <c r="AJ83" s="3">
        <f t="shared" si="39"/>
        <v>650</v>
      </c>
      <c r="AK83" s="3">
        <f t="shared" si="39"/>
        <v>650</v>
      </c>
      <c r="AL83" s="5">
        <v>46</v>
      </c>
      <c r="AM83" s="6">
        <f t="shared" si="40"/>
        <v>0.41666666666666663</v>
      </c>
      <c r="AP83" s="102"/>
      <c r="AQ83" s="101"/>
      <c r="AR83" s="5">
        <v>46</v>
      </c>
      <c r="AS83" s="6">
        <f t="shared" si="41"/>
        <v>0.41666666666666663</v>
      </c>
      <c r="AT83" s="3">
        <f t="shared" si="42"/>
        <v>600</v>
      </c>
      <c r="AU83" s="3">
        <f t="shared" si="42"/>
        <v>600</v>
      </c>
      <c r="AV83" s="3">
        <f t="shared" si="42"/>
        <v>600</v>
      </c>
      <c r="AW83" s="3">
        <f t="shared" si="42"/>
        <v>600</v>
      </c>
      <c r="AX83" s="3">
        <f t="shared" si="42"/>
        <v>600</v>
      </c>
      <c r="AY83" s="3">
        <f t="shared" si="42"/>
        <v>600</v>
      </c>
      <c r="AZ83" s="3">
        <f t="shared" si="42"/>
        <v>600</v>
      </c>
      <c r="BA83" s="3">
        <f t="shared" si="42"/>
        <v>600</v>
      </c>
      <c r="BB83" s="3">
        <f t="shared" si="42"/>
        <v>600</v>
      </c>
      <c r="BC83" s="3">
        <f t="shared" si="100"/>
        <v>600</v>
      </c>
      <c r="BD83" s="3">
        <f t="shared" si="138"/>
        <v>600</v>
      </c>
      <c r="BE83" s="3">
        <f t="shared" si="166"/>
        <v>600</v>
      </c>
      <c r="BF83" s="66">
        <f t="shared" ref="BF83:BF115" si="185">$R$2</f>
        <v>600</v>
      </c>
      <c r="BG83" s="69"/>
      <c r="BH83" s="23">
        <f t="shared" ref="BH83:BH84" si="186">-($F$3*$F$2)/$B$8*U20</f>
        <v>-2331903314.1903167</v>
      </c>
      <c r="BI83" s="3">
        <f t="shared" ref="BI83" si="187">-($F$3*$F$2)/$B$8*V20</f>
        <v>-2337514463.6100736</v>
      </c>
      <c r="BJ83" s="66">
        <f t="shared" ref="BJ83:BJ84" si="188">-($F$3*$F$2)/$B$8*W20</f>
        <v>-2341420743.6653404</v>
      </c>
      <c r="BK83" s="69"/>
      <c r="BL83" s="23">
        <f t="shared" ref="BL83:BL115" si="189">$R$3</f>
        <v>650</v>
      </c>
      <c r="BM83" s="3">
        <f t="shared" si="167"/>
        <v>650</v>
      </c>
      <c r="BN83" s="3">
        <f t="shared" si="146"/>
        <v>650</v>
      </c>
      <c r="BO83" s="3">
        <f t="shared" si="110"/>
        <v>650</v>
      </c>
      <c r="BP83" s="3">
        <f t="shared" si="44"/>
        <v>650</v>
      </c>
      <c r="BQ83" s="3">
        <f t="shared" si="44"/>
        <v>650</v>
      </c>
      <c r="BR83" s="3">
        <f t="shared" si="44"/>
        <v>650</v>
      </c>
      <c r="BS83" s="3">
        <f t="shared" si="44"/>
        <v>650</v>
      </c>
      <c r="BT83" s="3">
        <f t="shared" si="44"/>
        <v>650</v>
      </c>
      <c r="BU83" s="3">
        <f t="shared" si="44"/>
        <v>650</v>
      </c>
      <c r="BV83" s="3">
        <f t="shared" si="44"/>
        <v>650</v>
      </c>
      <c r="BW83" s="3">
        <f t="shared" si="44"/>
        <v>650</v>
      </c>
      <c r="BX83" s="3">
        <f t="shared" si="44"/>
        <v>650</v>
      </c>
      <c r="BY83" s="5">
        <v>46</v>
      </c>
      <c r="BZ83" s="6">
        <f t="shared" si="45"/>
        <v>0.41666666666666663</v>
      </c>
      <c r="CC83" s="94"/>
      <c r="CD83" s="95"/>
      <c r="CE83" s="5">
        <v>46</v>
      </c>
      <c r="CF83" s="6">
        <f t="shared" si="46"/>
        <v>0.41666666666666663</v>
      </c>
      <c r="CG83" s="3">
        <f t="shared" si="47"/>
        <v>600</v>
      </c>
      <c r="CH83" s="3">
        <f t="shared" si="47"/>
        <v>600</v>
      </c>
      <c r="CI83" s="3">
        <f t="shared" si="47"/>
        <v>600</v>
      </c>
      <c r="CJ83" s="3">
        <f t="shared" si="47"/>
        <v>600</v>
      </c>
      <c r="CK83" s="3">
        <f t="shared" si="47"/>
        <v>600</v>
      </c>
      <c r="CL83" s="3">
        <f t="shared" si="47"/>
        <v>600</v>
      </c>
      <c r="CM83" s="3">
        <f t="shared" si="47"/>
        <v>600</v>
      </c>
      <c r="CN83" s="3">
        <f t="shared" si="47"/>
        <v>600</v>
      </c>
      <c r="CO83" s="3">
        <f t="shared" si="47"/>
        <v>600</v>
      </c>
      <c r="CP83" s="3">
        <f t="shared" si="111"/>
        <v>600</v>
      </c>
      <c r="CQ83" s="3">
        <f t="shared" si="147"/>
        <v>600</v>
      </c>
      <c r="CR83" s="3">
        <f t="shared" si="168"/>
        <v>600</v>
      </c>
      <c r="CS83" s="3">
        <f t="shared" ref="CS83:CS115" si="190">$R$2</f>
        <v>600</v>
      </c>
      <c r="CT83" s="3">
        <v>0</v>
      </c>
      <c r="CU83" s="3">
        <f t="shared" ref="CU83:CX83" si="191">$L$2/($L$3-$L$4*CT83)</f>
        <v>0.34883720930232553</v>
      </c>
      <c r="CV83" s="3">
        <f t="shared" si="191"/>
        <v>0.39716748768472904</v>
      </c>
      <c r="CW83" s="3">
        <f t="shared" si="191"/>
        <v>0.40494040593779607</v>
      </c>
      <c r="CX83" s="3">
        <f t="shared" si="191"/>
        <v>0.4062190081621499</v>
      </c>
      <c r="CY83" s="3">
        <f t="shared" ref="CY83:CY115" si="192">$R$3</f>
        <v>650</v>
      </c>
      <c r="CZ83" s="3">
        <f t="shared" si="169"/>
        <v>650</v>
      </c>
      <c r="DA83" s="3">
        <f t="shared" si="148"/>
        <v>650</v>
      </c>
      <c r="DB83" s="3">
        <f t="shared" si="113"/>
        <v>650</v>
      </c>
      <c r="DC83" s="3">
        <f t="shared" si="49"/>
        <v>650</v>
      </c>
      <c r="DD83" s="3">
        <f t="shared" si="49"/>
        <v>650</v>
      </c>
      <c r="DE83" s="3">
        <f t="shared" si="49"/>
        <v>650</v>
      </c>
      <c r="DF83" s="3">
        <f t="shared" si="49"/>
        <v>650</v>
      </c>
      <c r="DG83" s="3">
        <f t="shared" si="49"/>
        <v>650</v>
      </c>
      <c r="DH83" s="3">
        <f t="shared" si="49"/>
        <v>650</v>
      </c>
      <c r="DI83" s="3">
        <f t="shared" si="49"/>
        <v>650</v>
      </c>
      <c r="DJ83" s="3">
        <f t="shared" si="49"/>
        <v>650</v>
      </c>
      <c r="DK83" s="3">
        <f t="shared" si="49"/>
        <v>650</v>
      </c>
      <c r="DL83" s="5">
        <v>46</v>
      </c>
      <c r="DM83" s="6">
        <f t="shared" si="50"/>
        <v>0.41666666666666663</v>
      </c>
      <c r="DQ83" s="94"/>
      <c r="DR83" s="95"/>
      <c r="DS83" s="5">
        <v>46</v>
      </c>
      <c r="DT83" s="6">
        <f t="shared" si="51"/>
        <v>0.41666666666666663</v>
      </c>
      <c r="DU83" s="3">
        <f t="shared" si="52"/>
        <v>600</v>
      </c>
      <c r="DV83" s="3">
        <f t="shared" si="52"/>
        <v>600</v>
      </c>
      <c r="DW83" s="3">
        <f t="shared" si="52"/>
        <v>600</v>
      </c>
      <c r="DX83" s="3">
        <f t="shared" si="52"/>
        <v>600</v>
      </c>
      <c r="DY83" s="3">
        <f t="shared" si="52"/>
        <v>600</v>
      </c>
      <c r="DZ83" s="3">
        <f t="shared" si="52"/>
        <v>600</v>
      </c>
      <c r="EA83" s="3">
        <f t="shared" si="52"/>
        <v>600</v>
      </c>
      <c r="EB83" s="3">
        <f t="shared" si="52"/>
        <v>600</v>
      </c>
      <c r="EC83" s="3">
        <f t="shared" si="52"/>
        <v>600</v>
      </c>
      <c r="ED83" s="3">
        <f t="shared" si="114"/>
        <v>600</v>
      </c>
      <c r="EE83" s="3">
        <f t="shared" si="149"/>
        <v>600</v>
      </c>
      <c r="EF83" s="3">
        <f t="shared" si="170"/>
        <v>600</v>
      </c>
      <c r="EG83" s="3">
        <f t="shared" ref="EG83:EG115" si="193">$R$2</f>
        <v>600</v>
      </c>
      <c r="EH83" s="3">
        <f>T83</f>
        <v>647.1821164884924</v>
      </c>
      <c r="EI83" s="3">
        <f t="shared" ref="EI83:EI84" si="194">(EH83*$L$4-BH83)/($L$3-$L$4*CT83)</f>
        <v>422.24783252887391</v>
      </c>
      <c r="EJ83" s="3">
        <f t="shared" ref="EJ83:EJ84" si="195">(EI83*$L$4-BI83)/($L$3-$L$4*CU83)</f>
        <v>391.95063424096725</v>
      </c>
      <c r="EK83" s="3">
        <f t="shared" ref="EK83:EK84" si="196">(EJ83*$L$4-BJ83)/($L$3-$L$4*CV83)</f>
        <v>387.73497415716696</v>
      </c>
      <c r="EL83" s="3">
        <f t="shared" ref="EL83:EL84" si="197">(EK83*$L$4-BK83)/($L$3-$L$4*CW83)</f>
        <v>157.5053166319012</v>
      </c>
      <c r="EM83" s="3">
        <f t="shared" ref="EM83:EM115" si="198">$R$3</f>
        <v>650</v>
      </c>
      <c r="EN83" s="3">
        <f t="shared" si="177"/>
        <v>650</v>
      </c>
      <c r="EO83" s="3">
        <f t="shared" si="158"/>
        <v>650</v>
      </c>
      <c r="EP83" s="3">
        <f t="shared" si="125"/>
        <v>650</v>
      </c>
      <c r="EQ83" s="3">
        <f t="shared" si="54"/>
        <v>650</v>
      </c>
      <c r="ER83" s="3">
        <f t="shared" si="54"/>
        <v>650</v>
      </c>
      <c r="ES83" s="3">
        <f t="shared" si="54"/>
        <v>650</v>
      </c>
      <c r="ET83" s="3">
        <f t="shared" si="54"/>
        <v>650</v>
      </c>
      <c r="EU83" s="3">
        <f t="shared" si="54"/>
        <v>650</v>
      </c>
      <c r="EV83" s="3">
        <f t="shared" si="54"/>
        <v>650</v>
      </c>
      <c r="EW83" s="3">
        <f t="shared" si="54"/>
        <v>650</v>
      </c>
      <c r="EX83" s="3">
        <f t="shared" si="54"/>
        <v>650</v>
      </c>
      <c r="EY83" s="3">
        <f t="shared" si="54"/>
        <v>650</v>
      </c>
      <c r="EZ83" s="5">
        <v>46</v>
      </c>
      <c r="FA83" s="6">
        <f t="shared" si="55"/>
        <v>0.41666666666666663</v>
      </c>
    </row>
    <row r="84" spans="3:157" x14ac:dyDescent="0.3">
      <c r="C84" s="94"/>
      <c r="D84" s="95"/>
      <c r="E84" s="5">
        <v>45</v>
      </c>
      <c r="F84" s="6">
        <f t="shared" si="36"/>
        <v>0.40740740740740738</v>
      </c>
      <c r="G84" s="3">
        <f t="shared" ref="G84:O93" si="199">$R$2</f>
        <v>600</v>
      </c>
      <c r="H84" s="3">
        <f t="shared" si="199"/>
        <v>600</v>
      </c>
      <c r="I84" s="3">
        <f t="shared" si="199"/>
        <v>600</v>
      </c>
      <c r="J84" s="3">
        <f t="shared" si="199"/>
        <v>600</v>
      </c>
      <c r="K84" s="3">
        <f t="shared" si="199"/>
        <v>600</v>
      </c>
      <c r="L84" s="3">
        <f t="shared" si="199"/>
        <v>600</v>
      </c>
      <c r="M84" s="3">
        <f t="shared" si="199"/>
        <v>600</v>
      </c>
      <c r="N84" s="3">
        <f t="shared" si="199"/>
        <v>600</v>
      </c>
      <c r="O84" s="3">
        <f t="shared" si="199"/>
        <v>600</v>
      </c>
      <c r="P84" s="3">
        <f t="shared" si="87"/>
        <v>600</v>
      </c>
      <c r="Q84" s="3">
        <f t="shared" si="129"/>
        <v>600</v>
      </c>
      <c r="R84" s="3">
        <f t="shared" si="159"/>
        <v>600</v>
      </c>
      <c r="S84" s="3">
        <f t="shared" si="178"/>
        <v>600</v>
      </c>
      <c r="T84" s="3">
        <f t="shared" ref="T84" si="200">($F$5*$B$5*S21+$F$4*U21)/($F$4+$F$5*$B$5)</f>
        <v>635.37724036639247</v>
      </c>
      <c r="U84" s="3">
        <f t="shared" si="180"/>
        <v>637.07389079891686</v>
      </c>
      <c r="V84" s="3">
        <f t="shared" si="181"/>
        <v>638.46356436083477</v>
      </c>
      <c r="W84" s="3">
        <f t="shared" si="182"/>
        <v>639.56867805118577</v>
      </c>
      <c r="X84" s="3">
        <f t="shared" ref="X84" si="201">($F$6*$B$5*Y21+$F$4*W21)/($F$4+$F$6*$B$5)</f>
        <v>640.35539252379715</v>
      </c>
      <c r="Y84" s="3">
        <f t="shared" si="184"/>
        <v>650</v>
      </c>
      <c r="Z84" s="3">
        <f t="shared" si="165"/>
        <v>650</v>
      </c>
      <c r="AA84" s="3">
        <f t="shared" si="137"/>
        <v>650</v>
      </c>
      <c r="AB84" s="3">
        <f t="shared" si="99"/>
        <v>650</v>
      </c>
      <c r="AC84" s="3">
        <f t="shared" ref="AC84:AK93" si="202">$R$3</f>
        <v>650</v>
      </c>
      <c r="AD84" s="3">
        <f t="shared" si="202"/>
        <v>650</v>
      </c>
      <c r="AE84" s="3">
        <f t="shared" si="202"/>
        <v>650</v>
      </c>
      <c r="AF84" s="3">
        <f t="shared" si="202"/>
        <v>650</v>
      </c>
      <c r="AG84" s="3">
        <f t="shared" si="202"/>
        <v>650</v>
      </c>
      <c r="AH84" s="3">
        <f t="shared" si="202"/>
        <v>650</v>
      </c>
      <c r="AI84" s="3">
        <f t="shared" si="202"/>
        <v>650</v>
      </c>
      <c r="AJ84" s="3">
        <f t="shared" si="202"/>
        <v>650</v>
      </c>
      <c r="AK84" s="3">
        <f t="shared" si="202"/>
        <v>650</v>
      </c>
      <c r="AL84" s="5">
        <v>45</v>
      </c>
      <c r="AM84" s="6">
        <f t="shared" si="40"/>
        <v>0.40740740740740738</v>
      </c>
      <c r="AP84" s="102"/>
      <c r="AQ84" s="101"/>
      <c r="AR84" s="5">
        <v>45</v>
      </c>
      <c r="AS84" s="6">
        <f t="shared" si="41"/>
        <v>0.40740740740740738</v>
      </c>
      <c r="AT84" s="3">
        <f t="shared" ref="AT84:BB93" si="203">$R$2</f>
        <v>600</v>
      </c>
      <c r="AU84" s="3">
        <f t="shared" si="203"/>
        <v>600</v>
      </c>
      <c r="AV84" s="3">
        <f t="shared" si="203"/>
        <v>600</v>
      </c>
      <c r="AW84" s="3">
        <f t="shared" si="203"/>
        <v>600</v>
      </c>
      <c r="AX84" s="3">
        <f t="shared" si="203"/>
        <v>600</v>
      </c>
      <c r="AY84" s="3">
        <f t="shared" si="203"/>
        <v>600</v>
      </c>
      <c r="AZ84" s="3">
        <f t="shared" si="203"/>
        <v>600</v>
      </c>
      <c r="BA84" s="3">
        <f t="shared" si="203"/>
        <v>600</v>
      </c>
      <c r="BB84" s="3">
        <f t="shared" si="203"/>
        <v>600</v>
      </c>
      <c r="BC84" s="3">
        <f t="shared" si="100"/>
        <v>600</v>
      </c>
      <c r="BD84" s="3">
        <f t="shared" si="138"/>
        <v>600</v>
      </c>
      <c r="BE84" s="3">
        <f t="shared" si="166"/>
        <v>600</v>
      </c>
      <c r="BF84" s="66">
        <f t="shared" si="185"/>
        <v>600</v>
      </c>
      <c r="BG84" s="69"/>
      <c r="BH84" s="34">
        <f t="shared" si="186"/>
        <v>-2287092004.4308257</v>
      </c>
      <c r="BI84" s="3">
        <f>-($F$3*$F$2)/$B$8*V21</f>
        <v>-2291985346.7949619</v>
      </c>
      <c r="BJ84" s="32">
        <f t="shared" si="188"/>
        <v>-2296090589.6090965</v>
      </c>
      <c r="BK84" s="69"/>
      <c r="BL84" s="23">
        <f t="shared" si="189"/>
        <v>650</v>
      </c>
      <c r="BM84" s="3">
        <f t="shared" si="167"/>
        <v>650</v>
      </c>
      <c r="BN84" s="3">
        <f t="shared" si="146"/>
        <v>650</v>
      </c>
      <c r="BO84" s="3">
        <f t="shared" si="110"/>
        <v>650</v>
      </c>
      <c r="BP84" s="3">
        <f t="shared" ref="BP84:BX93" si="204">$R$3</f>
        <v>650</v>
      </c>
      <c r="BQ84" s="3">
        <f t="shared" si="204"/>
        <v>650</v>
      </c>
      <c r="BR84" s="3">
        <f t="shared" si="204"/>
        <v>650</v>
      </c>
      <c r="BS84" s="3">
        <f t="shared" si="204"/>
        <v>650</v>
      </c>
      <c r="BT84" s="3">
        <f t="shared" si="204"/>
        <v>650</v>
      </c>
      <c r="BU84" s="3">
        <f t="shared" si="204"/>
        <v>650</v>
      </c>
      <c r="BV84" s="3">
        <f t="shared" si="204"/>
        <v>650</v>
      </c>
      <c r="BW84" s="3">
        <f t="shared" si="204"/>
        <v>650</v>
      </c>
      <c r="BX84" s="3">
        <f t="shared" si="204"/>
        <v>650</v>
      </c>
      <c r="BY84" s="5">
        <v>45</v>
      </c>
      <c r="BZ84" s="6">
        <f t="shared" si="45"/>
        <v>0.40740740740740738</v>
      </c>
      <c r="CC84" s="94"/>
      <c r="CD84" s="95"/>
      <c r="CE84" s="5">
        <v>45</v>
      </c>
      <c r="CF84" s="6">
        <f t="shared" si="46"/>
        <v>0.40740740740740738</v>
      </c>
      <c r="CG84" s="3">
        <f t="shared" ref="CG84:CO93" si="205">$R$2</f>
        <v>600</v>
      </c>
      <c r="CH84" s="3">
        <f t="shared" si="205"/>
        <v>600</v>
      </c>
      <c r="CI84" s="3">
        <f t="shared" si="205"/>
        <v>600</v>
      </c>
      <c r="CJ84" s="3">
        <f t="shared" si="205"/>
        <v>600</v>
      </c>
      <c r="CK84" s="3">
        <f t="shared" si="205"/>
        <v>600</v>
      </c>
      <c r="CL84" s="3">
        <f t="shared" si="205"/>
        <v>600</v>
      </c>
      <c r="CM84" s="3">
        <f t="shared" si="205"/>
        <v>600</v>
      </c>
      <c r="CN84" s="3">
        <f t="shared" si="205"/>
        <v>600</v>
      </c>
      <c r="CO84" s="3">
        <f t="shared" si="205"/>
        <v>600</v>
      </c>
      <c r="CP84" s="3">
        <f t="shared" si="111"/>
        <v>600</v>
      </c>
      <c r="CQ84" s="3">
        <f t="shared" si="147"/>
        <v>600</v>
      </c>
      <c r="CR84" s="3">
        <f t="shared" si="168"/>
        <v>600</v>
      </c>
      <c r="CS84" s="3">
        <f t="shared" si="190"/>
        <v>600</v>
      </c>
      <c r="CT84" s="3">
        <v>0</v>
      </c>
      <c r="CU84" s="3">
        <f t="shared" ref="CU84:CX84" si="206">$L$2/($L$3-$L$4*CT84)</f>
        <v>0.34883720930232553</v>
      </c>
      <c r="CV84" s="3">
        <f t="shared" si="206"/>
        <v>0.39716748768472904</v>
      </c>
      <c r="CW84" s="3">
        <f t="shared" si="206"/>
        <v>0.40494040593779607</v>
      </c>
      <c r="CX84" s="3">
        <f t="shared" si="206"/>
        <v>0.4062190081621499</v>
      </c>
      <c r="CY84" s="3">
        <f t="shared" si="192"/>
        <v>650</v>
      </c>
      <c r="CZ84" s="3">
        <f t="shared" si="169"/>
        <v>650</v>
      </c>
      <c r="DA84" s="3">
        <f t="shared" si="148"/>
        <v>650</v>
      </c>
      <c r="DB84" s="3">
        <f t="shared" si="113"/>
        <v>650</v>
      </c>
      <c r="DC84" s="3">
        <f t="shared" ref="DC84:DK93" si="207">$R$3</f>
        <v>650</v>
      </c>
      <c r="DD84" s="3">
        <f t="shared" si="207"/>
        <v>650</v>
      </c>
      <c r="DE84" s="3">
        <f t="shared" si="207"/>
        <v>650</v>
      </c>
      <c r="DF84" s="3">
        <f t="shared" si="207"/>
        <v>650</v>
      </c>
      <c r="DG84" s="3">
        <f t="shared" si="207"/>
        <v>650</v>
      </c>
      <c r="DH84" s="3">
        <f t="shared" si="207"/>
        <v>650</v>
      </c>
      <c r="DI84" s="3">
        <f t="shared" si="207"/>
        <v>650</v>
      </c>
      <c r="DJ84" s="3">
        <f t="shared" si="207"/>
        <v>650</v>
      </c>
      <c r="DK84" s="3">
        <f t="shared" si="207"/>
        <v>650</v>
      </c>
      <c r="DL84" s="5">
        <v>45</v>
      </c>
      <c r="DM84" s="6">
        <f t="shared" si="50"/>
        <v>0.40740740740740738</v>
      </c>
      <c r="DQ84" s="94"/>
      <c r="DR84" s="95"/>
      <c r="DS84" s="5">
        <v>45</v>
      </c>
      <c r="DT84" s="6">
        <f t="shared" si="51"/>
        <v>0.40740740740740738</v>
      </c>
      <c r="DU84" s="3">
        <f t="shared" ref="DU84:EC93" si="208">$R$2</f>
        <v>600</v>
      </c>
      <c r="DV84" s="3">
        <f t="shared" si="208"/>
        <v>600</v>
      </c>
      <c r="DW84" s="3">
        <f t="shared" si="208"/>
        <v>600</v>
      </c>
      <c r="DX84" s="3">
        <f t="shared" si="208"/>
        <v>600</v>
      </c>
      <c r="DY84" s="3">
        <f t="shared" si="208"/>
        <v>600</v>
      </c>
      <c r="DZ84" s="3">
        <f t="shared" si="208"/>
        <v>600</v>
      </c>
      <c r="EA84" s="3">
        <f t="shared" si="208"/>
        <v>600</v>
      </c>
      <c r="EB84" s="3">
        <f t="shared" si="208"/>
        <v>600</v>
      </c>
      <c r="EC84" s="3">
        <f t="shared" si="208"/>
        <v>600</v>
      </c>
      <c r="ED84" s="3">
        <f t="shared" si="114"/>
        <v>600</v>
      </c>
      <c r="EE84" s="3">
        <f t="shared" si="149"/>
        <v>600</v>
      </c>
      <c r="EF84" s="3">
        <f t="shared" si="170"/>
        <v>600</v>
      </c>
      <c r="EG84" s="3">
        <f t="shared" si="193"/>
        <v>600</v>
      </c>
      <c r="EH84" s="3">
        <f>T84</f>
        <v>635.37724036639247</v>
      </c>
      <c r="EI84" s="3">
        <f t="shared" si="194"/>
        <v>414.35404276606761</v>
      </c>
      <c r="EJ84" s="3">
        <f t="shared" si="195"/>
        <v>384.44767929740203</v>
      </c>
      <c r="EK84" s="3">
        <f t="shared" si="196"/>
        <v>380.26290545814265</v>
      </c>
      <c r="EL84" s="3">
        <f t="shared" si="197"/>
        <v>154.47002029606409</v>
      </c>
      <c r="EM84" s="3">
        <f t="shared" si="198"/>
        <v>650</v>
      </c>
      <c r="EN84" s="3">
        <f t="shared" si="177"/>
        <v>650</v>
      </c>
      <c r="EO84" s="3">
        <f t="shared" si="158"/>
        <v>650</v>
      </c>
      <c r="EP84" s="3">
        <f t="shared" si="125"/>
        <v>650</v>
      </c>
      <c r="EQ84" s="3">
        <f t="shared" ref="EQ84:EY93" si="209">$R$3</f>
        <v>650</v>
      </c>
      <c r="ER84" s="3">
        <f t="shared" si="209"/>
        <v>650</v>
      </c>
      <c r="ES84" s="3">
        <f t="shared" si="209"/>
        <v>650</v>
      </c>
      <c r="ET84" s="3">
        <f t="shared" si="209"/>
        <v>650</v>
      </c>
      <c r="EU84" s="3">
        <f t="shared" si="209"/>
        <v>650</v>
      </c>
      <c r="EV84" s="3">
        <f t="shared" si="209"/>
        <v>650</v>
      </c>
      <c r="EW84" s="3">
        <f t="shared" si="209"/>
        <v>650</v>
      </c>
      <c r="EX84" s="3">
        <f t="shared" si="209"/>
        <v>650</v>
      </c>
      <c r="EY84" s="3">
        <f t="shared" si="209"/>
        <v>650</v>
      </c>
      <c r="EZ84" s="5">
        <v>45</v>
      </c>
      <c r="FA84" s="6">
        <f t="shared" si="55"/>
        <v>0.40740740740740738</v>
      </c>
    </row>
    <row r="85" spans="3:157" x14ac:dyDescent="0.3">
      <c r="C85" s="94"/>
      <c r="D85" s="95"/>
      <c r="E85" s="5">
        <v>44</v>
      </c>
      <c r="F85" s="6">
        <f t="shared" si="36"/>
        <v>0.39814814814814814</v>
      </c>
      <c r="G85" s="3">
        <f t="shared" si="199"/>
        <v>600</v>
      </c>
      <c r="H85" s="3">
        <f t="shared" si="199"/>
        <v>600</v>
      </c>
      <c r="I85" s="3">
        <f t="shared" si="199"/>
        <v>600</v>
      </c>
      <c r="J85" s="3">
        <f t="shared" si="199"/>
        <v>600</v>
      </c>
      <c r="K85" s="3">
        <f t="shared" si="199"/>
        <v>600</v>
      </c>
      <c r="L85" s="3">
        <f t="shared" si="199"/>
        <v>600</v>
      </c>
      <c r="M85" s="3">
        <f t="shared" si="199"/>
        <v>600</v>
      </c>
      <c r="N85" s="3">
        <f t="shared" si="199"/>
        <v>600</v>
      </c>
      <c r="O85" s="3">
        <f t="shared" si="199"/>
        <v>600</v>
      </c>
      <c r="P85" s="3">
        <f t="shared" si="87"/>
        <v>600</v>
      </c>
      <c r="Q85" s="3">
        <f t="shared" si="129"/>
        <v>600</v>
      </c>
      <c r="R85" s="3">
        <f t="shared" si="159"/>
        <v>600</v>
      </c>
      <c r="S85" s="3">
        <f t="shared" si="178"/>
        <v>600</v>
      </c>
      <c r="T85" s="3">
        <f t="shared" ref="T85:T112" si="210">$R$2</f>
        <v>600</v>
      </c>
      <c r="U85" s="3">
        <f t="shared" ref="U85" si="211">($F$5*$B$5*T22+$F$4*V22)/($F$4+$F$5*$B$5)</f>
        <v>626.74809595918089</v>
      </c>
      <c r="V85" s="3">
        <f t="shared" si="181"/>
        <v>627.70652633587122</v>
      </c>
      <c r="W85" s="3">
        <f t="shared" ref="W85" si="212">($F$6*$B$5*X22+$F$4*V22)/($F$4+$F$6*$B$5)</f>
        <v>629.2029306252806</v>
      </c>
      <c r="X85" s="3">
        <f t="shared" ref="X85:X112" si="213">$R$3</f>
        <v>650</v>
      </c>
      <c r="Y85" s="3">
        <f t="shared" si="184"/>
        <v>650</v>
      </c>
      <c r="Z85" s="3">
        <f t="shared" si="165"/>
        <v>650</v>
      </c>
      <c r="AA85" s="3">
        <f t="shared" si="137"/>
        <v>650</v>
      </c>
      <c r="AB85" s="3">
        <f t="shared" si="99"/>
        <v>650</v>
      </c>
      <c r="AC85" s="3">
        <f t="shared" si="202"/>
        <v>650</v>
      </c>
      <c r="AD85" s="3">
        <f t="shared" si="202"/>
        <v>650</v>
      </c>
      <c r="AE85" s="3">
        <f t="shared" si="202"/>
        <v>650</v>
      </c>
      <c r="AF85" s="3">
        <f t="shared" si="202"/>
        <v>650</v>
      </c>
      <c r="AG85" s="3">
        <f t="shared" si="202"/>
        <v>650</v>
      </c>
      <c r="AH85" s="3">
        <f t="shared" si="202"/>
        <v>650</v>
      </c>
      <c r="AI85" s="3">
        <f t="shared" si="202"/>
        <v>650</v>
      </c>
      <c r="AJ85" s="3">
        <f t="shared" si="202"/>
        <v>650</v>
      </c>
      <c r="AK85" s="3">
        <f t="shared" si="202"/>
        <v>650</v>
      </c>
      <c r="AL85" s="5">
        <v>44</v>
      </c>
      <c r="AM85" s="6">
        <f t="shared" si="40"/>
        <v>0.39814814814814814</v>
      </c>
      <c r="AP85" s="102"/>
      <c r="AQ85" s="101"/>
      <c r="AR85" s="5">
        <v>44</v>
      </c>
      <c r="AS85" s="6">
        <f t="shared" si="41"/>
        <v>0.39814814814814814</v>
      </c>
      <c r="AT85" s="3">
        <f t="shared" si="203"/>
        <v>600</v>
      </c>
      <c r="AU85" s="3">
        <f t="shared" si="203"/>
        <v>600</v>
      </c>
      <c r="AV85" s="3">
        <f t="shared" si="203"/>
        <v>600</v>
      </c>
      <c r="AW85" s="3">
        <f t="shared" si="203"/>
        <v>600</v>
      </c>
      <c r="AX85" s="3">
        <f t="shared" si="203"/>
        <v>600</v>
      </c>
      <c r="AY85" s="3">
        <f t="shared" si="203"/>
        <v>600</v>
      </c>
      <c r="AZ85" s="3">
        <f t="shared" si="203"/>
        <v>600</v>
      </c>
      <c r="BA85" s="3">
        <f t="shared" si="203"/>
        <v>600</v>
      </c>
      <c r="BB85" s="3">
        <f t="shared" si="203"/>
        <v>600</v>
      </c>
      <c r="BC85" s="3">
        <f t="shared" si="100"/>
        <v>600</v>
      </c>
      <c r="BD85" s="3">
        <f t="shared" si="138"/>
        <v>600</v>
      </c>
      <c r="BE85" s="3">
        <f t="shared" si="166"/>
        <v>600</v>
      </c>
      <c r="BF85" s="3">
        <f t="shared" si="185"/>
        <v>600</v>
      </c>
      <c r="BG85" s="30">
        <f t="shared" ref="BG85:BG112" si="214">$R$2</f>
        <v>600</v>
      </c>
      <c r="BH85" s="69"/>
      <c r="BI85" s="70">
        <f t="shared" ref="BI85:BI128" si="215">-($F$3*$F$2)/$B$8*V22</f>
        <v>-2254335772.2610507</v>
      </c>
      <c r="BJ85" s="69"/>
      <c r="BK85" s="26">
        <f t="shared" ref="BK85:BK112" si="216">$R$3</f>
        <v>650</v>
      </c>
      <c r="BL85" s="3">
        <f t="shared" si="189"/>
        <v>650</v>
      </c>
      <c r="BM85" s="3">
        <f t="shared" si="167"/>
        <v>650</v>
      </c>
      <c r="BN85" s="3">
        <f t="shared" si="146"/>
        <v>650</v>
      </c>
      <c r="BO85" s="3">
        <f t="shared" si="110"/>
        <v>650</v>
      </c>
      <c r="BP85" s="3">
        <f t="shared" si="204"/>
        <v>650</v>
      </c>
      <c r="BQ85" s="3">
        <f t="shared" si="204"/>
        <v>650</v>
      </c>
      <c r="BR85" s="3">
        <f t="shared" si="204"/>
        <v>650</v>
      </c>
      <c r="BS85" s="3">
        <f t="shared" si="204"/>
        <v>650</v>
      </c>
      <c r="BT85" s="3">
        <f t="shared" si="204"/>
        <v>650</v>
      </c>
      <c r="BU85" s="3">
        <f t="shared" si="204"/>
        <v>650</v>
      </c>
      <c r="BV85" s="3">
        <f t="shared" si="204"/>
        <v>650</v>
      </c>
      <c r="BW85" s="3">
        <f t="shared" si="204"/>
        <v>650</v>
      </c>
      <c r="BX85" s="3">
        <f t="shared" si="204"/>
        <v>650</v>
      </c>
      <c r="BY85" s="5">
        <v>44</v>
      </c>
      <c r="BZ85" s="6">
        <f t="shared" si="45"/>
        <v>0.39814814814814814</v>
      </c>
      <c r="CC85" s="94"/>
      <c r="CD85" s="95"/>
      <c r="CE85" s="5">
        <v>44</v>
      </c>
      <c r="CF85" s="6">
        <f t="shared" si="46"/>
        <v>0.39814814814814814</v>
      </c>
      <c r="CG85" s="3">
        <f t="shared" si="205"/>
        <v>600</v>
      </c>
      <c r="CH85" s="3">
        <f t="shared" si="205"/>
        <v>600</v>
      </c>
      <c r="CI85" s="3">
        <f t="shared" si="205"/>
        <v>600</v>
      </c>
      <c r="CJ85" s="3">
        <f t="shared" si="205"/>
        <v>600</v>
      </c>
      <c r="CK85" s="3">
        <f t="shared" si="205"/>
        <v>600</v>
      </c>
      <c r="CL85" s="3">
        <f t="shared" si="205"/>
        <v>600</v>
      </c>
      <c r="CM85" s="3">
        <f t="shared" si="205"/>
        <v>600</v>
      </c>
      <c r="CN85" s="3">
        <f t="shared" si="205"/>
        <v>600</v>
      </c>
      <c r="CO85" s="3">
        <f t="shared" si="205"/>
        <v>600</v>
      </c>
      <c r="CP85" s="3">
        <f t="shared" si="111"/>
        <v>600</v>
      </c>
      <c r="CQ85" s="3">
        <f t="shared" si="147"/>
        <v>600</v>
      </c>
      <c r="CR85" s="3">
        <f t="shared" si="168"/>
        <v>600</v>
      </c>
      <c r="CS85" s="3">
        <f t="shared" si="190"/>
        <v>600</v>
      </c>
      <c r="CT85" s="3">
        <f t="shared" ref="CT85:CT112" si="217">$R$2</f>
        <v>600</v>
      </c>
      <c r="CU85" s="3">
        <f t="shared" ref="CU85:CW85" si="218">$L$2/($L$3-$L$4*CT85)</f>
        <v>-1.6746678575415876E-3</v>
      </c>
      <c r="CV85" s="3">
        <f t="shared" si="218"/>
        <v>0.34863354230673421</v>
      </c>
      <c r="CW85" s="3">
        <f t="shared" si="218"/>
        <v>0.39713536344133415</v>
      </c>
      <c r="CX85" s="3">
        <f t="shared" ref="CX85:CX112" si="219">$R$3</f>
        <v>650</v>
      </c>
      <c r="CY85" s="3">
        <f t="shared" si="192"/>
        <v>650</v>
      </c>
      <c r="CZ85" s="3">
        <f t="shared" si="169"/>
        <v>650</v>
      </c>
      <c r="DA85" s="3">
        <f t="shared" si="148"/>
        <v>650</v>
      </c>
      <c r="DB85" s="3">
        <f t="shared" si="113"/>
        <v>650</v>
      </c>
      <c r="DC85" s="3">
        <f t="shared" si="207"/>
        <v>650</v>
      </c>
      <c r="DD85" s="3">
        <f t="shared" si="207"/>
        <v>650</v>
      </c>
      <c r="DE85" s="3">
        <f t="shared" si="207"/>
        <v>650</v>
      </c>
      <c r="DF85" s="3">
        <f t="shared" si="207"/>
        <v>650</v>
      </c>
      <c r="DG85" s="3">
        <f t="shared" si="207"/>
        <v>650</v>
      </c>
      <c r="DH85" s="3">
        <f t="shared" si="207"/>
        <v>650</v>
      </c>
      <c r="DI85" s="3">
        <f t="shared" si="207"/>
        <v>650</v>
      </c>
      <c r="DJ85" s="3">
        <f t="shared" si="207"/>
        <v>650</v>
      </c>
      <c r="DK85" s="3">
        <f t="shared" si="207"/>
        <v>650</v>
      </c>
      <c r="DL85" s="5">
        <v>44</v>
      </c>
      <c r="DM85" s="6">
        <f t="shared" si="50"/>
        <v>0.39814814814814814</v>
      </c>
      <c r="DQ85" s="94"/>
      <c r="DR85" s="95"/>
      <c r="DS85" s="5">
        <v>44</v>
      </c>
      <c r="DT85" s="6">
        <f t="shared" si="51"/>
        <v>0.39814814814814814</v>
      </c>
      <c r="DU85" s="3">
        <f t="shared" si="208"/>
        <v>600</v>
      </c>
      <c r="DV85" s="3">
        <f t="shared" si="208"/>
        <v>600</v>
      </c>
      <c r="DW85" s="3">
        <f t="shared" si="208"/>
        <v>600</v>
      </c>
      <c r="DX85" s="3">
        <f t="shared" si="208"/>
        <v>600</v>
      </c>
      <c r="DY85" s="3">
        <f t="shared" si="208"/>
        <v>600</v>
      </c>
      <c r="DZ85" s="3">
        <f t="shared" si="208"/>
        <v>600</v>
      </c>
      <c r="EA85" s="3">
        <f t="shared" si="208"/>
        <v>600</v>
      </c>
      <c r="EB85" s="3">
        <f t="shared" si="208"/>
        <v>600</v>
      </c>
      <c r="EC85" s="3">
        <f t="shared" si="208"/>
        <v>600</v>
      </c>
      <c r="ED85" s="3">
        <f t="shared" si="114"/>
        <v>600</v>
      </c>
      <c r="EE85" s="3">
        <f t="shared" si="149"/>
        <v>600</v>
      </c>
      <c r="EF85" s="3">
        <f t="shared" si="170"/>
        <v>600</v>
      </c>
      <c r="EG85" s="3">
        <f t="shared" si="193"/>
        <v>600</v>
      </c>
      <c r="EH85" s="3">
        <f t="shared" ref="EH85:EH112" si="220">$R$2</f>
        <v>600</v>
      </c>
      <c r="EI85" s="3">
        <f>U85</f>
        <v>626.74809595918089</v>
      </c>
      <c r="EJ85" s="3">
        <f t="shared" ref="EJ85:EJ128" si="221">(EI85*$L$4-BI85)/($L$3-$L$4*CU85)</f>
        <v>408.34527980220128</v>
      </c>
      <c r="EK85" s="3">
        <f t="shared" ref="EK85:EK128" si="222">(EJ85*$L$4-BJ85)/($L$3-$L$4*CV85)</f>
        <v>162.16835110380049</v>
      </c>
      <c r="EL85" s="3">
        <f t="shared" ref="EL85:EL112" si="223">$R$3</f>
        <v>650</v>
      </c>
      <c r="EM85" s="3">
        <f t="shared" si="198"/>
        <v>650</v>
      </c>
      <c r="EN85" s="3">
        <f t="shared" si="177"/>
        <v>650</v>
      </c>
      <c r="EO85" s="3">
        <f t="shared" si="158"/>
        <v>650</v>
      </c>
      <c r="EP85" s="3">
        <f t="shared" si="125"/>
        <v>650</v>
      </c>
      <c r="EQ85" s="3">
        <f t="shared" si="209"/>
        <v>650</v>
      </c>
      <c r="ER85" s="3">
        <f t="shared" si="209"/>
        <v>650</v>
      </c>
      <c r="ES85" s="3">
        <f t="shared" si="209"/>
        <v>650</v>
      </c>
      <c r="ET85" s="3">
        <f t="shared" si="209"/>
        <v>650</v>
      </c>
      <c r="EU85" s="3">
        <f t="shared" si="209"/>
        <v>650</v>
      </c>
      <c r="EV85" s="3">
        <f t="shared" si="209"/>
        <v>650</v>
      </c>
      <c r="EW85" s="3">
        <f t="shared" si="209"/>
        <v>650</v>
      </c>
      <c r="EX85" s="3">
        <f t="shared" si="209"/>
        <v>650</v>
      </c>
      <c r="EY85" s="3">
        <f t="shared" si="209"/>
        <v>650</v>
      </c>
      <c r="EZ85" s="5">
        <v>44</v>
      </c>
      <c r="FA85" s="6">
        <f t="shared" si="55"/>
        <v>0.39814814814814814</v>
      </c>
    </row>
    <row r="86" spans="3:157" x14ac:dyDescent="0.3">
      <c r="C86" s="94"/>
      <c r="D86" s="95"/>
      <c r="E86" s="5">
        <v>43</v>
      </c>
      <c r="F86" s="6">
        <f t="shared" si="36"/>
        <v>0.38888888888888884</v>
      </c>
      <c r="G86" s="3">
        <f t="shared" si="199"/>
        <v>600</v>
      </c>
      <c r="H86" s="3">
        <f t="shared" si="199"/>
        <v>600</v>
      </c>
      <c r="I86" s="3">
        <f t="shared" si="199"/>
        <v>600</v>
      </c>
      <c r="J86" s="3">
        <f t="shared" si="199"/>
        <v>600</v>
      </c>
      <c r="K86" s="3">
        <f t="shared" si="199"/>
        <v>600</v>
      </c>
      <c r="L86" s="3">
        <f t="shared" si="199"/>
        <v>600</v>
      </c>
      <c r="M86" s="3">
        <f t="shared" si="199"/>
        <v>600</v>
      </c>
      <c r="N86" s="3">
        <f t="shared" si="199"/>
        <v>600</v>
      </c>
      <c r="O86" s="3">
        <f t="shared" si="199"/>
        <v>600</v>
      </c>
      <c r="P86" s="3">
        <f t="shared" si="87"/>
        <v>600</v>
      </c>
      <c r="Q86" s="3">
        <f t="shared" si="129"/>
        <v>600</v>
      </c>
      <c r="R86" s="3">
        <f t="shared" si="159"/>
        <v>600</v>
      </c>
      <c r="S86" s="3">
        <f t="shared" si="178"/>
        <v>600</v>
      </c>
      <c r="T86" s="3">
        <f t="shared" si="210"/>
        <v>600</v>
      </c>
      <c r="U86" s="3">
        <f t="shared" ref="U86" si="224">($F$5*$B$5*T23+$F$4*V23)/($F$4+$F$5*$B$5)</f>
        <v>620.57327104328408</v>
      </c>
      <c r="V86" s="3">
        <f t="shared" si="181"/>
        <v>621.39724970005227</v>
      </c>
      <c r="W86" s="3">
        <f t="shared" ref="W86" si="225">($F$6*$B$5*X23+$F$4*V23)/($F$4+$F$6*$B$5)</f>
        <v>622.9423442522185</v>
      </c>
      <c r="X86" s="3">
        <f t="shared" si="213"/>
        <v>650</v>
      </c>
      <c r="Y86" s="3">
        <f t="shared" si="184"/>
        <v>650</v>
      </c>
      <c r="Z86" s="3">
        <f t="shared" si="165"/>
        <v>650</v>
      </c>
      <c r="AA86" s="3">
        <f t="shared" si="137"/>
        <v>650</v>
      </c>
      <c r="AB86" s="3">
        <f t="shared" si="99"/>
        <v>650</v>
      </c>
      <c r="AC86" s="3">
        <f t="shared" si="202"/>
        <v>650</v>
      </c>
      <c r="AD86" s="3">
        <f t="shared" si="202"/>
        <v>650</v>
      </c>
      <c r="AE86" s="3">
        <f t="shared" si="202"/>
        <v>650</v>
      </c>
      <c r="AF86" s="3">
        <f t="shared" si="202"/>
        <v>650</v>
      </c>
      <c r="AG86" s="3">
        <f t="shared" si="202"/>
        <v>650</v>
      </c>
      <c r="AH86" s="3">
        <f t="shared" si="202"/>
        <v>650</v>
      </c>
      <c r="AI86" s="3">
        <f t="shared" si="202"/>
        <v>650</v>
      </c>
      <c r="AJ86" s="3">
        <f t="shared" si="202"/>
        <v>650</v>
      </c>
      <c r="AK86" s="3">
        <f t="shared" si="202"/>
        <v>650</v>
      </c>
      <c r="AL86" s="5">
        <v>43</v>
      </c>
      <c r="AM86" s="6">
        <f t="shared" si="40"/>
        <v>0.38888888888888884</v>
      </c>
      <c r="AP86" s="102"/>
      <c r="AQ86" s="101"/>
      <c r="AR86" s="5">
        <v>43</v>
      </c>
      <c r="AS86" s="6">
        <f t="shared" si="41"/>
        <v>0.38888888888888884</v>
      </c>
      <c r="AT86" s="3">
        <f t="shared" si="203"/>
        <v>600</v>
      </c>
      <c r="AU86" s="3">
        <f t="shared" si="203"/>
        <v>600</v>
      </c>
      <c r="AV86" s="3">
        <f t="shared" si="203"/>
        <v>600</v>
      </c>
      <c r="AW86" s="3">
        <f t="shared" si="203"/>
        <v>600</v>
      </c>
      <c r="AX86" s="3">
        <f t="shared" si="203"/>
        <v>600</v>
      </c>
      <c r="AY86" s="3">
        <f t="shared" si="203"/>
        <v>600</v>
      </c>
      <c r="AZ86" s="3">
        <f t="shared" si="203"/>
        <v>600</v>
      </c>
      <c r="BA86" s="3">
        <f t="shared" si="203"/>
        <v>600</v>
      </c>
      <c r="BB86" s="3">
        <f t="shared" si="203"/>
        <v>600</v>
      </c>
      <c r="BC86" s="3">
        <f t="shared" si="100"/>
        <v>600</v>
      </c>
      <c r="BD86" s="3">
        <f t="shared" si="138"/>
        <v>600</v>
      </c>
      <c r="BE86" s="3">
        <f t="shared" si="166"/>
        <v>600</v>
      </c>
      <c r="BF86" s="3">
        <f t="shared" si="185"/>
        <v>600</v>
      </c>
      <c r="BG86" s="66">
        <f t="shared" si="214"/>
        <v>600</v>
      </c>
      <c r="BH86" s="69"/>
      <c r="BI86" s="70">
        <f t="shared" si="215"/>
        <v>-2230896136.8803062</v>
      </c>
      <c r="BJ86" s="69"/>
      <c r="BK86" s="23">
        <f t="shared" si="216"/>
        <v>650</v>
      </c>
      <c r="BL86" s="3">
        <f t="shared" si="189"/>
        <v>650</v>
      </c>
      <c r="BM86" s="3">
        <f t="shared" si="167"/>
        <v>650</v>
      </c>
      <c r="BN86" s="3">
        <f t="shared" si="146"/>
        <v>650</v>
      </c>
      <c r="BO86" s="3">
        <f t="shared" si="110"/>
        <v>650</v>
      </c>
      <c r="BP86" s="3">
        <f t="shared" si="204"/>
        <v>650</v>
      </c>
      <c r="BQ86" s="3">
        <f t="shared" si="204"/>
        <v>650</v>
      </c>
      <c r="BR86" s="3">
        <f t="shared" si="204"/>
        <v>650</v>
      </c>
      <c r="BS86" s="3">
        <f t="shared" si="204"/>
        <v>650</v>
      </c>
      <c r="BT86" s="3">
        <f t="shared" si="204"/>
        <v>650</v>
      </c>
      <c r="BU86" s="3">
        <f t="shared" si="204"/>
        <v>650</v>
      </c>
      <c r="BV86" s="3">
        <f t="shared" si="204"/>
        <v>650</v>
      </c>
      <c r="BW86" s="3">
        <f t="shared" si="204"/>
        <v>650</v>
      </c>
      <c r="BX86" s="3">
        <f t="shared" si="204"/>
        <v>650</v>
      </c>
      <c r="BY86" s="5">
        <v>43</v>
      </c>
      <c r="BZ86" s="6">
        <f t="shared" si="45"/>
        <v>0.38888888888888884</v>
      </c>
      <c r="CC86" s="94"/>
      <c r="CD86" s="95"/>
      <c r="CE86" s="5">
        <v>43</v>
      </c>
      <c r="CF86" s="6">
        <f t="shared" si="46"/>
        <v>0.38888888888888884</v>
      </c>
      <c r="CG86" s="3">
        <f t="shared" si="205"/>
        <v>600</v>
      </c>
      <c r="CH86" s="3">
        <f t="shared" si="205"/>
        <v>600</v>
      </c>
      <c r="CI86" s="3">
        <f t="shared" si="205"/>
        <v>600</v>
      </c>
      <c r="CJ86" s="3">
        <f t="shared" si="205"/>
        <v>600</v>
      </c>
      <c r="CK86" s="3">
        <f t="shared" si="205"/>
        <v>600</v>
      </c>
      <c r="CL86" s="3">
        <f t="shared" si="205"/>
        <v>600</v>
      </c>
      <c r="CM86" s="3">
        <f t="shared" si="205"/>
        <v>600</v>
      </c>
      <c r="CN86" s="3">
        <f t="shared" si="205"/>
        <v>600</v>
      </c>
      <c r="CO86" s="3">
        <f t="shared" si="205"/>
        <v>600</v>
      </c>
      <c r="CP86" s="3">
        <f t="shared" si="111"/>
        <v>600</v>
      </c>
      <c r="CQ86" s="3">
        <f t="shared" si="147"/>
        <v>600</v>
      </c>
      <c r="CR86" s="3">
        <f t="shared" si="168"/>
        <v>600</v>
      </c>
      <c r="CS86" s="3">
        <f t="shared" si="190"/>
        <v>600</v>
      </c>
      <c r="CT86" s="3">
        <f t="shared" si="217"/>
        <v>600</v>
      </c>
      <c r="CU86" s="3">
        <f t="shared" ref="CU86:CW86" si="226">$L$2/($L$3-$L$4*CT86)</f>
        <v>-1.6746678575415876E-3</v>
      </c>
      <c r="CV86" s="3">
        <f t="shared" si="226"/>
        <v>0.34863354230673421</v>
      </c>
      <c r="CW86" s="3">
        <f t="shared" si="226"/>
        <v>0.39713536344133415</v>
      </c>
      <c r="CX86" s="3">
        <f t="shared" si="219"/>
        <v>650</v>
      </c>
      <c r="CY86" s="3">
        <f t="shared" si="192"/>
        <v>650</v>
      </c>
      <c r="CZ86" s="3">
        <f t="shared" si="169"/>
        <v>650</v>
      </c>
      <c r="DA86" s="3">
        <f t="shared" si="148"/>
        <v>650</v>
      </c>
      <c r="DB86" s="3">
        <f t="shared" si="113"/>
        <v>650</v>
      </c>
      <c r="DC86" s="3">
        <f t="shared" si="207"/>
        <v>650</v>
      </c>
      <c r="DD86" s="3">
        <f t="shared" si="207"/>
        <v>650</v>
      </c>
      <c r="DE86" s="3">
        <f t="shared" si="207"/>
        <v>650</v>
      </c>
      <c r="DF86" s="3">
        <f t="shared" si="207"/>
        <v>650</v>
      </c>
      <c r="DG86" s="3">
        <f t="shared" si="207"/>
        <v>650</v>
      </c>
      <c r="DH86" s="3">
        <f t="shared" si="207"/>
        <v>650</v>
      </c>
      <c r="DI86" s="3">
        <f t="shared" si="207"/>
        <v>650</v>
      </c>
      <c r="DJ86" s="3">
        <f t="shared" si="207"/>
        <v>650</v>
      </c>
      <c r="DK86" s="3">
        <f t="shared" si="207"/>
        <v>650</v>
      </c>
      <c r="DL86" s="5">
        <v>43</v>
      </c>
      <c r="DM86" s="6">
        <f t="shared" si="50"/>
        <v>0.38888888888888884</v>
      </c>
      <c r="DQ86" s="94"/>
      <c r="DR86" s="95"/>
      <c r="DS86" s="5">
        <v>43</v>
      </c>
      <c r="DT86" s="6">
        <f t="shared" si="51"/>
        <v>0.38888888888888884</v>
      </c>
      <c r="DU86" s="3">
        <f t="shared" si="208"/>
        <v>600</v>
      </c>
      <c r="DV86" s="3">
        <f t="shared" si="208"/>
        <v>600</v>
      </c>
      <c r="DW86" s="3">
        <f t="shared" si="208"/>
        <v>600</v>
      </c>
      <c r="DX86" s="3">
        <f t="shared" si="208"/>
        <v>600</v>
      </c>
      <c r="DY86" s="3">
        <f t="shared" si="208"/>
        <v>600</v>
      </c>
      <c r="DZ86" s="3">
        <f t="shared" si="208"/>
        <v>600</v>
      </c>
      <c r="EA86" s="3">
        <f t="shared" si="208"/>
        <v>600</v>
      </c>
      <c r="EB86" s="3">
        <f t="shared" si="208"/>
        <v>600</v>
      </c>
      <c r="EC86" s="3">
        <f t="shared" si="208"/>
        <v>600</v>
      </c>
      <c r="ED86" s="3">
        <f t="shared" si="114"/>
        <v>600</v>
      </c>
      <c r="EE86" s="3">
        <f t="shared" si="149"/>
        <v>600</v>
      </c>
      <c r="EF86" s="3">
        <f t="shared" si="170"/>
        <v>600</v>
      </c>
      <c r="EG86" s="3">
        <f t="shared" si="193"/>
        <v>600</v>
      </c>
      <c r="EH86" s="3">
        <f t="shared" si="220"/>
        <v>600</v>
      </c>
      <c r="EI86" s="3">
        <f t="shared" ref="EH86:EI114" si="227">U86</f>
        <v>620.57327104328408</v>
      </c>
      <c r="EJ86" s="3">
        <f t="shared" si="221"/>
        <v>404.21865357054031</v>
      </c>
      <c r="EK86" s="3">
        <f t="shared" si="222"/>
        <v>160.52952189550328</v>
      </c>
      <c r="EL86" s="3">
        <f t="shared" si="223"/>
        <v>650</v>
      </c>
      <c r="EM86" s="3">
        <f t="shared" si="198"/>
        <v>650</v>
      </c>
      <c r="EN86" s="3">
        <f t="shared" si="177"/>
        <v>650</v>
      </c>
      <c r="EO86" s="3">
        <f t="shared" si="158"/>
        <v>650</v>
      </c>
      <c r="EP86" s="3">
        <f t="shared" si="125"/>
        <v>650</v>
      </c>
      <c r="EQ86" s="3">
        <f t="shared" si="209"/>
        <v>650</v>
      </c>
      <c r="ER86" s="3">
        <f t="shared" si="209"/>
        <v>650</v>
      </c>
      <c r="ES86" s="3">
        <f t="shared" si="209"/>
        <v>650</v>
      </c>
      <c r="ET86" s="3">
        <f t="shared" si="209"/>
        <v>650</v>
      </c>
      <c r="EU86" s="3">
        <f t="shared" si="209"/>
        <v>650</v>
      </c>
      <c r="EV86" s="3">
        <f t="shared" si="209"/>
        <v>650</v>
      </c>
      <c r="EW86" s="3">
        <f t="shared" si="209"/>
        <v>650</v>
      </c>
      <c r="EX86" s="3">
        <f t="shared" si="209"/>
        <v>650</v>
      </c>
      <c r="EY86" s="3">
        <f t="shared" si="209"/>
        <v>650</v>
      </c>
      <c r="EZ86" s="5">
        <v>43</v>
      </c>
      <c r="FA86" s="6">
        <f t="shared" si="55"/>
        <v>0.38888888888888884</v>
      </c>
    </row>
    <row r="87" spans="3:157" x14ac:dyDescent="0.3">
      <c r="C87" s="94"/>
      <c r="D87" s="95"/>
      <c r="E87" s="5">
        <v>42</v>
      </c>
      <c r="F87" s="6">
        <f t="shared" si="36"/>
        <v>0.37962962962962959</v>
      </c>
      <c r="G87" s="3">
        <f t="shared" si="199"/>
        <v>600</v>
      </c>
      <c r="H87" s="3">
        <f t="shared" si="199"/>
        <v>600</v>
      </c>
      <c r="I87" s="3">
        <f t="shared" si="199"/>
        <v>600</v>
      </c>
      <c r="J87" s="3">
        <f t="shared" si="199"/>
        <v>600</v>
      </c>
      <c r="K87" s="3">
        <f t="shared" si="199"/>
        <v>600</v>
      </c>
      <c r="L87" s="3">
        <f t="shared" si="199"/>
        <v>600</v>
      </c>
      <c r="M87" s="3">
        <f t="shared" si="199"/>
        <v>600</v>
      </c>
      <c r="N87" s="3">
        <f t="shared" si="199"/>
        <v>600</v>
      </c>
      <c r="O87" s="3">
        <f t="shared" si="199"/>
        <v>600</v>
      </c>
      <c r="P87" s="3">
        <f t="shared" si="87"/>
        <v>600</v>
      </c>
      <c r="Q87" s="3">
        <f t="shared" si="129"/>
        <v>600</v>
      </c>
      <c r="R87" s="3">
        <f t="shared" si="159"/>
        <v>600</v>
      </c>
      <c r="S87" s="3">
        <f t="shared" si="178"/>
        <v>600</v>
      </c>
      <c r="T87" s="3">
        <f t="shared" si="210"/>
        <v>600</v>
      </c>
      <c r="U87" s="3">
        <f t="shared" ref="U87" si="228">($F$5*$B$5*T24+$F$4*V24)/($F$4+$F$5*$B$5)</f>
        <v>616.72899804645579</v>
      </c>
      <c r="V87" s="3">
        <f t="shared" si="181"/>
        <v>617.46927082924151</v>
      </c>
      <c r="W87" s="3">
        <f t="shared" ref="W87" si="229">($F$6*$B$5*X24+$F$4*V24)/($F$4+$F$6*$B$5)</f>
        <v>619.04467857487873</v>
      </c>
      <c r="X87" s="3">
        <f t="shared" si="213"/>
        <v>650</v>
      </c>
      <c r="Y87" s="3">
        <f t="shared" si="184"/>
        <v>650</v>
      </c>
      <c r="Z87" s="3">
        <f t="shared" si="165"/>
        <v>650</v>
      </c>
      <c r="AA87" s="3">
        <f t="shared" si="137"/>
        <v>650</v>
      </c>
      <c r="AB87" s="3">
        <f t="shared" si="99"/>
        <v>650</v>
      </c>
      <c r="AC87" s="3">
        <f t="shared" si="202"/>
        <v>650</v>
      </c>
      <c r="AD87" s="3">
        <f t="shared" si="202"/>
        <v>650</v>
      </c>
      <c r="AE87" s="3">
        <f t="shared" si="202"/>
        <v>650</v>
      </c>
      <c r="AF87" s="3">
        <f t="shared" si="202"/>
        <v>650</v>
      </c>
      <c r="AG87" s="3">
        <f t="shared" si="202"/>
        <v>650</v>
      </c>
      <c r="AH87" s="3">
        <f t="shared" si="202"/>
        <v>650</v>
      </c>
      <c r="AI87" s="3">
        <f t="shared" si="202"/>
        <v>650</v>
      </c>
      <c r="AJ87" s="3">
        <f t="shared" si="202"/>
        <v>650</v>
      </c>
      <c r="AK87" s="3">
        <f t="shared" si="202"/>
        <v>650</v>
      </c>
      <c r="AL87" s="5">
        <v>42</v>
      </c>
      <c r="AM87" s="6">
        <f t="shared" si="40"/>
        <v>0.37962962962962959</v>
      </c>
      <c r="AP87" s="102"/>
      <c r="AQ87" s="101"/>
      <c r="AR87" s="5">
        <v>42</v>
      </c>
      <c r="AS87" s="6">
        <f t="shared" si="41"/>
        <v>0.37962962962962959</v>
      </c>
      <c r="AT87" s="3">
        <f t="shared" si="203"/>
        <v>600</v>
      </c>
      <c r="AU87" s="3">
        <f t="shared" si="203"/>
        <v>600</v>
      </c>
      <c r="AV87" s="3">
        <f t="shared" si="203"/>
        <v>600</v>
      </c>
      <c r="AW87" s="3">
        <f t="shared" si="203"/>
        <v>600</v>
      </c>
      <c r="AX87" s="3">
        <f t="shared" si="203"/>
        <v>600</v>
      </c>
      <c r="AY87" s="3">
        <f t="shared" si="203"/>
        <v>600</v>
      </c>
      <c r="AZ87" s="3">
        <f t="shared" si="203"/>
        <v>600</v>
      </c>
      <c r="BA87" s="3">
        <f t="shared" si="203"/>
        <v>600</v>
      </c>
      <c r="BB87" s="3">
        <f t="shared" si="203"/>
        <v>600</v>
      </c>
      <c r="BC87" s="3">
        <f t="shared" si="100"/>
        <v>600</v>
      </c>
      <c r="BD87" s="3">
        <f t="shared" si="138"/>
        <v>600</v>
      </c>
      <c r="BE87" s="3">
        <f t="shared" si="166"/>
        <v>600</v>
      </c>
      <c r="BF87" s="3">
        <f t="shared" si="185"/>
        <v>600</v>
      </c>
      <c r="BG87" s="66">
        <f t="shared" si="214"/>
        <v>600</v>
      </c>
      <c r="BH87" s="69"/>
      <c r="BI87" s="70">
        <f t="shared" si="215"/>
        <v>-2216303276.5843458</v>
      </c>
      <c r="BJ87" s="69"/>
      <c r="BK87" s="23">
        <f t="shared" si="216"/>
        <v>650</v>
      </c>
      <c r="BL87" s="3">
        <f t="shared" si="189"/>
        <v>650</v>
      </c>
      <c r="BM87" s="3">
        <f t="shared" si="167"/>
        <v>650</v>
      </c>
      <c r="BN87" s="3">
        <f t="shared" si="146"/>
        <v>650</v>
      </c>
      <c r="BO87" s="3">
        <f t="shared" si="110"/>
        <v>650</v>
      </c>
      <c r="BP87" s="3">
        <f t="shared" si="204"/>
        <v>650</v>
      </c>
      <c r="BQ87" s="3">
        <f t="shared" si="204"/>
        <v>650</v>
      </c>
      <c r="BR87" s="3">
        <f t="shared" si="204"/>
        <v>650</v>
      </c>
      <c r="BS87" s="3">
        <f t="shared" si="204"/>
        <v>650</v>
      </c>
      <c r="BT87" s="3">
        <f t="shared" si="204"/>
        <v>650</v>
      </c>
      <c r="BU87" s="3">
        <f t="shared" si="204"/>
        <v>650</v>
      </c>
      <c r="BV87" s="3">
        <f t="shared" si="204"/>
        <v>650</v>
      </c>
      <c r="BW87" s="3">
        <f t="shared" si="204"/>
        <v>650</v>
      </c>
      <c r="BX87" s="3">
        <f t="shared" si="204"/>
        <v>650</v>
      </c>
      <c r="BY87" s="5">
        <v>42</v>
      </c>
      <c r="BZ87" s="6">
        <f t="shared" si="45"/>
        <v>0.37962962962962959</v>
      </c>
      <c r="CC87" s="94"/>
      <c r="CD87" s="95"/>
      <c r="CE87" s="5">
        <v>42</v>
      </c>
      <c r="CF87" s="6">
        <f t="shared" si="46"/>
        <v>0.37962962962962959</v>
      </c>
      <c r="CG87" s="3">
        <f t="shared" si="205"/>
        <v>600</v>
      </c>
      <c r="CH87" s="3">
        <f t="shared" si="205"/>
        <v>600</v>
      </c>
      <c r="CI87" s="3">
        <f t="shared" si="205"/>
        <v>600</v>
      </c>
      <c r="CJ87" s="3">
        <f t="shared" si="205"/>
        <v>600</v>
      </c>
      <c r="CK87" s="3">
        <f t="shared" si="205"/>
        <v>600</v>
      </c>
      <c r="CL87" s="3">
        <f t="shared" si="205"/>
        <v>600</v>
      </c>
      <c r="CM87" s="3">
        <f t="shared" si="205"/>
        <v>600</v>
      </c>
      <c r="CN87" s="3">
        <f t="shared" si="205"/>
        <v>600</v>
      </c>
      <c r="CO87" s="3">
        <f t="shared" si="205"/>
        <v>600</v>
      </c>
      <c r="CP87" s="3">
        <f t="shared" si="111"/>
        <v>600</v>
      </c>
      <c r="CQ87" s="3">
        <f t="shared" si="147"/>
        <v>600</v>
      </c>
      <c r="CR87" s="3">
        <f t="shared" si="168"/>
        <v>600</v>
      </c>
      <c r="CS87" s="3">
        <f t="shared" si="190"/>
        <v>600</v>
      </c>
      <c r="CT87" s="3">
        <f t="shared" si="217"/>
        <v>600</v>
      </c>
      <c r="CU87" s="3">
        <f t="shared" ref="CU87:CW87" si="230">$L$2/($L$3-$L$4*CT87)</f>
        <v>-1.6746678575415876E-3</v>
      </c>
      <c r="CV87" s="3">
        <f t="shared" si="230"/>
        <v>0.34863354230673421</v>
      </c>
      <c r="CW87" s="3">
        <f t="shared" si="230"/>
        <v>0.39713536344133415</v>
      </c>
      <c r="CX87" s="3">
        <f t="shared" si="219"/>
        <v>650</v>
      </c>
      <c r="CY87" s="3">
        <f t="shared" si="192"/>
        <v>650</v>
      </c>
      <c r="CZ87" s="3">
        <f t="shared" si="169"/>
        <v>650</v>
      </c>
      <c r="DA87" s="3">
        <f t="shared" si="148"/>
        <v>650</v>
      </c>
      <c r="DB87" s="3">
        <f t="shared" si="113"/>
        <v>650</v>
      </c>
      <c r="DC87" s="3">
        <f t="shared" si="207"/>
        <v>650</v>
      </c>
      <c r="DD87" s="3">
        <f t="shared" si="207"/>
        <v>650</v>
      </c>
      <c r="DE87" s="3">
        <f t="shared" si="207"/>
        <v>650</v>
      </c>
      <c r="DF87" s="3">
        <f t="shared" si="207"/>
        <v>650</v>
      </c>
      <c r="DG87" s="3">
        <f t="shared" si="207"/>
        <v>650</v>
      </c>
      <c r="DH87" s="3">
        <f t="shared" si="207"/>
        <v>650</v>
      </c>
      <c r="DI87" s="3">
        <f t="shared" si="207"/>
        <v>650</v>
      </c>
      <c r="DJ87" s="3">
        <f t="shared" si="207"/>
        <v>650</v>
      </c>
      <c r="DK87" s="3">
        <f t="shared" si="207"/>
        <v>650</v>
      </c>
      <c r="DL87" s="5">
        <v>42</v>
      </c>
      <c r="DM87" s="6">
        <f t="shared" si="50"/>
        <v>0.37962962962962959</v>
      </c>
      <c r="DQ87" s="94"/>
      <c r="DR87" s="95"/>
      <c r="DS87" s="5">
        <v>42</v>
      </c>
      <c r="DT87" s="6">
        <f t="shared" si="51"/>
        <v>0.37962962962962959</v>
      </c>
      <c r="DU87" s="3">
        <f t="shared" si="208"/>
        <v>600</v>
      </c>
      <c r="DV87" s="3">
        <f t="shared" si="208"/>
        <v>600</v>
      </c>
      <c r="DW87" s="3">
        <f t="shared" si="208"/>
        <v>600</v>
      </c>
      <c r="DX87" s="3">
        <f t="shared" si="208"/>
        <v>600</v>
      </c>
      <c r="DY87" s="3">
        <f t="shared" si="208"/>
        <v>600</v>
      </c>
      <c r="DZ87" s="3">
        <f t="shared" si="208"/>
        <v>600</v>
      </c>
      <c r="EA87" s="3">
        <f t="shared" si="208"/>
        <v>600</v>
      </c>
      <c r="EB87" s="3">
        <f t="shared" si="208"/>
        <v>600</v>
      </c>
      <c r="EC87" s="3">
        <f t="shared" si="208"/>
        <v>600</v>
      </c>
      <c r="ED87" s="3">
        <f t="shared" si="114"/>
        <v>600</v>
      </c>
      <c r="EE87" s="3">
        <f t="shared" si="149"/>
        <v>600</v>
      </c>
      <c r="EF87" s="3">
        <f t="shared" si="170"/>
        <v>600</v>
      </c>
      <c r="EG87" s="3">
        <f t="shared" si="193"/>
        <v>600</v>
      </c>
      <c r="EH87" s="3">
        <f t="shared" si="220"/>
        <v>600</v>
      </c>
      <c r="EI87" s="3">
        <f t="shared" si="227"/>
        <v>616.72899804645579</v>
      </c>
      <c r="EJ87" s="3">
        <f t="shared" si="221"/>
        <v>401.64953169154785</v>
      </c>
      <c r="EK87" s="3">
        <f t="shared" si="222"/>
        <v>159.50923274436451</v>
      </c>
      <c r="EL87" s="3">
        <f t="shared" si="223"/>
        <v>650</v>
      </c>
      <c r="EM87" s="3">
        <f t="shared" si="198"/>
        <v>650</v>
      </c>
      <c r="EN87" s="3">
        <f t="shared" si="177"/>
        <v>650</v>
      </c>
      <c r="EO87" s="3">
        <f t="shared" si="158"/>
        <v>650</v>
      </c>
      <c r="EP87" s="3">
        <f t="shared" si="125"/>
        <v>650</v>
      </c>
      <c r="EQ87" s="3">
        <f t="shared" si="209"/>
        <v>650</v>
      </c>
      <c r="ER87" s="3">
        <f t="shared" si="209"/>
        <v>650</v>
      </c>
      <c r="ES87" s="3">
        <f t="shared" si="209"/>
        <v>650</v>
      </c>
      <c r="ET87" s="3">
        <f t="shared" si="209"/>
        <v>650</v>
      </c>
      <c r="EU87" s="3">
        <f t="shared" si="209"/>
        <v>650</v>
      </c>
      <c r="EV87" s="3">
        <f t="shared" si="209"/>
        <v>650</v>
      </c>
      <c r="EW87" s="3">
        <f t="shared" si="209"/>
        <v>650</v>
      </c>
      <c r="EX87" s="3">
        <f t="shared" si="209"/>
        <v>650</v>
      </c>
      <c r="EY87" s="3">
        <f t="shared" si="209"/>
        <v>650</v>
      </c>
      <c r="EZ87" s="5">
        <v>42</v>
      </c>
      <c r="FA87" s="6">
        <f t="shared" si="55"/>
        <v>0.37962962962962959</v>
      </c>
    </row>
    <row r="88" spans="3:157" x14ac:dyDescent="0.3">
      <c r="C88" s="94"/>
      <c r="D88" s="95"/>
      <c r="E88" s="5">
        <v>41</v>
      </c>
      <c r="F88" s="6">
        <f t="shared" si="36"/>
        <v>0.37037037037037035</v>
      </c>
      <c r="G88" s="3">
        <f t="shared" si="199"/>
        <v>600</v>
      </c>
      <c r="H88" s="3">
        <f t="shared" si="199"/>
        <v>600</v>
      </c>
      <c r="I88" s="3">
        <f t="shared" si="199"/>
        <v>600</v>
      </c>
      <c r="J88" s="3">
        <f t="shared" si="199"/>
        <v>600</v>
      </c>
      <c r="K88" s="3">
        <f t="shared" si="199"/>
        <v>600</v>
      </c>
      <c r="L88" s="3">
        <f t="shared" si="199"/>
        <v>600</v>
      </c>
      <c r="M88" s="3">
        <f t="shared" si="199"/>
        <v>600</v>
      </c>
      <c r="N88" s="3">
        <f t="shared" si="199"/>
        <v>600</v>
      </c>
      <c r="O88" s="3">
        <f t="shared" si="199"/>
        <v>600</v>
      </c>
      <c r="P88" s="3">
        <f t="shared" si="87"/>
        <v>600</v>
      </c>
      <c r="Q88" s="3">
        <f t="shared" si="129"/>
        <v>600</v>
      </c>
      <c r="R88" s="3">
        <f t="shared" si="159"/>
        <v>600</v>
      </c>
      <c r="S88" s="3">
        <f t="shared" si="178"/>
        <v>600</v>
      </c>
      <c r="T88" s="3">
        <f t="shared" si="210"/>
        <v>600</v>
      </c>
      <c r="U88" s="3">
        <f t="shared" ref="U88" si="231">($F$5*$B$5*T25+$F$4*V25)/($F$4+$F$5*$B$5)</f>
        <v>614.33567237909563</v>
      </c>
      <c r="V88" s="3">
        <f t="shared" si="181"/>
        <v>615.02383246934482</v>
      </c>
      <c r="W88" s="3">
        <f t="shared" ref="W88" si="232">($F$6*$B$5*X25+$F$4*V25)/($F$4+$F$6*$B$5)</f>
        <v>616.61811227324972</v>
      </c>
      <c r="X88" s="3">
        <f t="shared" si="213"/>
        <v>650</v>
      </c>
      <c r="Y88" s="3">
        <f t="shared" si="184"/>
        <v>650</v>
      </c>
      <c r="Z88" s="3">
        <f t="shared" si="165"/>
        <v>650</v>
      </c>
      <c r="AA88" s="3">
        <f t="shared" si="137"/>
        <v>650</v>
      </c>
      <c r="AB88" s="3">
        <f t="shared" si="99"/>
        <v>650</v>
      </c>
      <c r="AC88" s="3">
        <f t="shared" si="202"/>
        <v>650</v>
      </c>
      <c r="AD88" s="3">
        <f t="shared" si="202"/>
        <v>650</v>
      </c>
      <c r="AE88" s="3">
        <f t="shared" si="202"/>
        <v>650</v>
      </c>
      <c r="AF88" s="3">
        <f t="shared" si="202"/>
        <v>650</v>
      </c>
      <c r="AG88" s="3">
        <f t="shared" si="202"/>
        <v>650</v>
      </c>
      <c r="AH88" s="3">
        <f t="shared" si="202"/>
        <v>650</v>
      </c>
      <c r="AI88" s="3">
        <f t="shared" si="202"/>
        <v>650</v>
      </c>
      <c r="AJ88" s="3">
        <f t="shared" si="202"/>
        <v>650</v>
      </c>
      <c r="AK88" s="3">
        <f t="shared" si="202"/>
        <v>650</v>
      </c>
      <c r="AL88" s="5">
        <v>41</v>
      </c>
      <c r="AM88" s="6">
        <f t="shared" si="40"/>
        <v>0.37037037037037035</v>
      </c>
      <c r="AP88" s="102"/>
      <c r="AQ88" s="101"/>
      <c r="AR88" s="5">
        <v>41</v>
      </c>
      <c r="AS88" s="6">
        <f t="shared" si="41"/>
        <v>0.37037037037037035</v>
      </c>
      <c r="AT88" s="3">
        <f t="shared" si="203"/>
        <v>600</v>
      </c>
      <c r="AU88" s="3">
        <f t="shared" si="203"/>
        <v>600</v>
      </c>
      <c r="AV88" s="3">
        <f t="shared" si="203"/>
        <v>600</v>
      </c>
      <c r="AW88" s="3">
        <f t="shared" si="203"/>
        <v>600</v>
      </c>
      <c r="AX88" s="3">
        <f t="shared" si="203"/>
        <v>600</v>
      </c>
      <c r="AY88" s="3">
        <f t="shared" si="203"/>
        <v>600</v>
      </c>
      <c r="AZ88" s="3">
        <f t="shared" si="203"/>
        <v>600</v>
      </c>
      <c r="BA88" s="3">
        <f t="shared" si="203"/>
        <v>600</v>
      </c>
      <c r="BB88" s="3">
        <f t="shared" si="203"/>
        <v>600</v>
      </c>
      <c r="BC88" s="3">
        <f t="shared" si="100"/>
        <v>600</v>
      </c>
      <c r="BD88" s="3">
        <f t="shared" si="138"/>
        <v>600</v>
      </c>
      <c r="BE88" s="3">
        <f t="shared" si="166"/>
        <v>600</v>
      </c>
      <c r="BF88" s="3">
        <f t="shared" si="185"/>
        <v>600</v>
      </c>
      <c r="BG88" s="66">
        <f t="shared" si="214"/>
        <v>600</v>
      </c>
      <c r="BH88" s="69"/>
      <c r="BI88" s="70">
        <f t="shared" si="215"/>
        <v>-2207218212.351047</v>
      </c>
      <c r="BJ88" s="69"/>
      <c r="BK88" s="23">
        <f t="shared" si="216"/>
        <v>650</v>
      </c>
      <c r="BL88" s="3">
        <f t="shared" si="189"/>
        <v>650</v>
      </c>
      <c r="BM88" s="3">
        <f t="shared" si="167"/>
        <v>650</v>
      </c>
      <c r="BN88" s="3">
        <f t="shared" si="146"/>
        <v>650</v>
      </c>
      <c r="BO88" s="3">
        <f t="shared" si="110"/>
        <v>650</v>
      </c>
      <c r="BP88" s="3">
        <f t="shared" si="204"/>
        <v>650</v>
      </c>
      <c r="BQ88" s="3">
        <f t="shared" si="204"/>
        <v>650</v>
      </c>
      <c r="BR88" s="3">
        <f t="shared" si="204"/>
        <v>650</v>
      </c>
      <c r="BS88" s="3">
        <f t="shared" si="204"/>
        <v>650</v>
      </c>
      <c r="BT88" s="3">
        <f t="shared" si="204"/>
        <v>650</v>
      </c>
      <c r="BU88" s="3">
        <f t="shared" si="204"/>
        <v>650</v>
      </c>
      <c r="BV88" s="3">
        <f t="shared" si="204"/>
        <v>650</v>
      </c>
      <c r="BW88" s="3">
        <f t="shared" si="204"/>
        <v>650</v>
      </c>
      <c r="BX88" s="3">
        <f t="shared" si="204"/>
        <v>650</v>
      </c>
      <c r="BY88" s="5">
        <v>41</v>
      </c>
      <c r="BZ88" s="6">
        <f t="shared" si="45"/>
        <v>0.37037037037037035</v>
      </c>
      <c r="CC88" s="94"/>
      <c r="CD88" s="95"/>
      <c r="CE88" s="5">
        <v>41</v>
      </c>
      <c r="CF88" s="6">
        <f t="shared" si="46"/>
        <v>0.37037037037037035</v>
      </c>
      <c r="CG88" s="3">
        <f t="shared" si="205"/>
        <v>600</v>
      </c>
      <c r="CH88" s="3">
        <f t="shared" si="205"/>
        <v>600</v>
      </c>
      <c r="CI88" s="3">
        <f t="shared" si="205"/>
        <v>600</v>
      </c>
      <c r="CJ88" s="3">
        <f t="shared" si="205"/>
        <v>600</v>
      </c>
      <c r="CK88" s="3">
        <f t="shared" si="205"/>
        <v>600</v>
      </c>
      <c r="CL88" s="3">
        <f t="shared" si="205"/>
        <v>600</v>
      </c>
      <c r="CM88" s="3">
        <f t="shared" si="205"/>
        <v>600</v>
      </c>
      <c r="CN88" s="3">
        <f t="shared" si="205"/>
        <v>600</v>
      </c>
      <c r="CO88" s="3">
        <f t="shared" si="205"/>
        <v>600</v>
      </c>
      <c r="CP88" s="3">
        <f t="shared" si="111"/>
        <v>600</v>
      </c>
      <c r="CQ88" s="3">
        <f t="shared" si="147"/>
        <v>600</v>
      </c>
      <c r="CR88" s="3">
        <f t="shared" si="168"/>
        <v>600</v>
      </c>
      <c r="CS88" s="3">
        <f t="shared" si="190"/>
        <v>600</v>
      </c>
      <c r="CT88" s="3">
        <f t="shared" si="217"/>
        <v>600</v>
      </c>
      <c r="CU88" s="3">
        <f t="shared" ref="CU88:CW88" si="233">$L$2/($L$3-$L$4*CT88)</f>
        <v>-1.6746678575415876E-3</v>
      </c>
      <c r="CV88" s="3">
        <f t="shared" si="233"/>
        <v>0.34863354230673421</v>
      </c>
      <c r="CW88" s="3">
        <f t="shared" si="233"/>
        <v>0.39713536344133415</v>
      </c>
      <c r="CX88" s="3">
        <f t="shared" si="219"/>
        <v>650</v>
      </c>
      <c r="CY88" s="3">
        <f t="shared" si="192"/>
        <v>650</v>
      </c>
      <c r="CZ88" s="3">
        <f t="shared" si="169"/>
        <v>650</v>
      </c>
      <c r="DA88" s="3">
        <f t="shared" si="148"/>
        <v>650</v>
      </c>
      <c r="DB88" s="3">
        <f t="shared" si="113"/>
        <v>650</v>
      </c>
      <c r="DC88" s="3">
        <f t="shared" si="207"/>
        <v>650</v>
      </c>
      <c r="DD88" s="3">
        <f t="shared" si="207"/>
        <v>650</v>
      </c>
      <c r="DE88" s="3">
        <f t="shared" si="207"/>
        <v>650</v>
      </c>
      <c r="DF88" s="3">
        <f t="shared" si="207"/>
        <v>650</v>
      </c>
      <c r="DG88" s="3">
        <f t="shared" si="207"/>
        <v>650</v>
      </c>
      <c r="DH88" s="3">
        <f t="shared" si="207"/>
        <v>650</v>
      </c>
      <c r="DI88" s="3">
        <f t="shared" si="207"/>
        <v>650</v>
      </c>
      <c r="DJ88" s="3">
        <f t="shared" si="207"/>
        <v>650</v>
      </c>
      <c r="DK88" s="3">
        <f t="shared" si="207"/>
        <v>650</v>
      </c>
      <c r="DL88" s="5">
        <v>41</v>
      </c>
      <c r="DM88" s="6">
        <f t="shared" si="50"/>
        <v>0.37037037037037035</v>
      </c>
      <c r="DQ88" s="94"/>
      <c r="DR88" s="95"/>
      <c r="DS88" s="5">
        <v>41</v>
      </c>
      <c r="DT88" s="6">
        <f t="shared" si="51"/>
        <v>0.37037037037037035</v>
      </c>
      <c r="DU88" s="3">
        <f t="shared" si="208"/>
        <v>600</v>
      </c>
      <c r="DV88" s="3">
        <f t="shared" si="208"/>
        <v>600</v>
      </c>
      <c r="DW88" s="3">
        <f t="shared" si="208"/>
        <v>600</v>
      </c>
      <c r="DX88" s="3">
        <f t="shared" si="208"/>
        <v>600</v>
      </c>
      <c r="DY88" s="3">
        <f t="shared" si="208"/>
        <v>600</v>
      </c>
      <c r="DZ88" s="3">
        <f t="shared" si="208"/>
        <v>600</v>
      </c>
      <c r="EA88" s="3">
        <f t="shared" si="208"/>
        <v>600</v>
      </c>
      <c r="EB88" s="3">
        <f t="shared" si="208"/>
        <v>600</v>
      </c>
      <c r="EC88" s="3">
        <f t="shared" si="208"/>
        <v>600</v>
      </c>
      <c r="ED88" s="3">
        <f t="shared" si="114"/>
        <v>600</v>
      </c>
      <c r="EE88" s="3">
        <f t="shared" si="149"/>
        <v>600</v>
      </c>
      <c r="EF88" s="3">
        <f t="shared" si="170"/>
        <v>600</v>
      </c>
      <c r="EG88" s="3">
        <f t="shared" si="193"/>
        <v>600</v>
      </c>
      <c r="EH88" s="3">
        <f t="shared" si="220"/>
        <v>600</v>
      </c>
      <c r="EI88" s="3">
        <f t="shared" si="227"/>
        <v>614.33567237909563</v>
      </c>
      <c r="EJ88" s="3">
        <f t="shared" si="221"/>
        <v>400.05007573703017</v>
      </c>
      <c r="EK88" s="3">
        <f t="shared" si="222"/>
        <v>158.87403222255875</v>
      </c>
      <c r="EL88" s="3">
        <f t="shared" si="223"/>
        <v>650</v>
      </c>
      <c r="EM88" s="3">
        <f t="shared" si="198"/>
        <v>650</v>
      </c>
      <c r="EN88" s="3">
        <f t="shared" si="177"/>
        <v>650</v>
      </c>
      <c r="EO88" s="3">
        <f t="shared" si="158"/>
        <v>650</v>
      </c>
      <c r="EP88" s="3">
        <f t="shared" si="125"/>
        <v>650</v>
      </c>
      <c r="EQ88" s="3">
        <f t="shared" si="209"/>
        <v>650</v>
      </c>
      <c r="ER88" s="3">
        <f t="shared" si="209"/>
        <v>650</v>
      </c>
      <c r="ES88" s="3">
        <f t="shared" si="209"/>
        <v>650</v>
      </c>
      <c r="ET88" s="3">
        <f t="shared" si="209"/>
        <v>650</v>
      </c>
      <c r="EU88" s="3">
        <f t="shared" si="209"/>
        <v>650</v>
      </c>
      <c r="EV88" s="3">
        <f t="shared" si="209"/>
        <v>650</v>
      </c>
      <c r="EW88" s="3">
        <f t="shared" si="209"/>
        <v>650</v>
      </c>
      <c r="EX88" s="3">
        <f t="shared" si="209"/>
        <v>650</v>
      </c>
      <c r="EY88" s="3">
        <f t="shared" si="209"/>
        <v>650</v>
      </c>
      <c r="EZ88" s="5">
        <v>41</v>
      </c>
      <c r="FA88" s="6">
        <f t="shared" si="55"/>
        <v>0.37037037037037035</v>
      </c>
    </row>
    <row r="89" spans="3:157" x14ac:dyDescent="0.3">
      <c r="C89" s="94"/>
      <c r="D89" s="95"/>
      <c r="E89" s="5">
        <v>40</v>
      </c>
      <c r="F89" s="6">
        <f t="shared" si="36"/>
        <v>0.3611111111111111</v>
      </c>
      <c r="G89" s="3">
        <f t="shared" si="199"/>
        <v>600</v>
      </c>
      <c r="H89" s="3">
        <f t="shared" si="199"/>
        <v>600</v>
      </c>
      <c r="I89" s="3">
        <f t="shared" si="199"/>
        <v>600</v>
      </c>
      <c r="J89" s="3">
        <f t="shared" si="199"/>
        <v>600</v>
      </c>
      <c r="K89" s="3">
        <f t="shared" si="199"/>
        <v>600</v>
      </c>
      <c r="L89" s="3">
        <f t="shared" si="199"/>
        <v>600</v>
      </c>
      <c r="M89" s="3">
        <f t="shared" si="199"/>
        <v>600</v>
      </c>
      <c r="N89" s="3">
        <f t="shared" si="199"/>
        <v>600</v>
      </c>
      <c r="O89" s="3">
        <f t="shared" si="199"/>
        <v>600</v>
      </c>
      <c r="P89" s="3">
        <f t="shared" si="87"/>
        <v>600</v>
      </c>
      <c r="Q89" s="3">
        <f t="shared" si="129"/>
        <v>600</v>
      </c>
      <c r="R89" s="3">
        <f t="shared" si="159"/>
        <v>600</v>
      </c>
      <c r="S89" s="3">
        <f t="shared" si="178"/>
        <v>600</v>
      </c>
      <c r="T89" s="3">
        <f t="shared" si="210"/>
        <v>600</v>
      </c>
      <c r="U89" s="3">
        <f t="shared" ref="U89" si="234">($F$5*$B$5*T26+$F$4*V26)/($F$4+$F$5*$B$5)</f>
        <v>612.84567284709669</v>
      </c>
      <c r="V89" s="3">
        <f t="shared" si="181"/>
        <v>613.50138942639796</v>
      </c>
      <c r="W89" s="3">
        <f t="shared" ref="W89" si="235">($F$6*$B$5*X26+$F$4*V26)/($F$4+$F$6*$B$5)</f>
        <v>615.10741830330642</v>
      </c>
      <c r="X89" s="3">
        <f t="shared" si="213"/>
        <v>650</v>
      </c>
      <c r="Y89" s="3">
        <f t="shared" si="184"/>
        <v>650</v>
      </c>
      <c r="Z89" s="3">
        <f t="shared" si="165"/>
        <v>650</v>
      </c>
      <c r="AA89" s="3">
        <f t="shared" si="137"/>
        <v>650</v>
      </c>
      <c r="AB89" s="3">
        <f t="shared" si="99"/>
        <v>650</v>
      </c>
      <c r="AC89" s="3">
        <f t="shared" si="202"/>
        <v>650</v>
      </c>
      <c r="AD89" s="3">
        <f t="shared" si="202"/>
        <v>650</v>
      </c>
      <c r="AE89" s="3">
        <f t="shared" si="202"/>
        <v>650</v>
      </c>
      <c r="AF89" s="3">
        <f t="shared" si="202"/>
        <v>650</v>
      </c>
      <c r="AG89" s="3">
        <f t="shared" si="202"/>
        <v>650</v>
      </c>
      <c r="AH89" s="3">
        <f t="shared" si="202"/>
        <v>650</v>
      </c>
      <c r="AI89" s="3">
        <f t="shared" si="202"/>
        <v>650</v>
      </c>
      <c r="AJ89" s="3">
        <f t="shared" si="202"/>
        <v>650</v>
      </c>
      <c r="AK89" s="3">
        <f t="shared" si="202"/>
        <v>650</v>
      </c>
      <c r="AL89" s="5">
        <v>40</v>
      </c>
      <c r="AM89" s="6">
        <f t="shared" si="40"/>
        <v>0.3611111111111111</v>
      </c>
      <c r="AP89" s="102"/>
      <c r="AQ89" s="101"/>
      <c r="AR89" s="5">
        <v>40</v>
      </c>
      <c r="AS89" s="6">
        <f t="shared" si="41"/>
        <v>0.3611111111111111</v>
      </c>
      <c r="AT89" s="3">
        <f t="shared" si="203"/>
        <v>600</v>
      </c>
      <c r="AU89" s="3">
        <f t="shared" si="203"/>
        <v>600</v>
      </c>
      <c r="AV89" s="3">
        <f t="shared" si="203"/>
        <v>600</v>
      </c>
      <c r="AW89" s="3">
        <f t="shared" si="203"/>
        <v>600</v>
      </c>
      <c r="AX89" s="3">
        <f t="shared" si="203"/>
        <v>600</v>
      </c>
      <c r="AY89" s="3">
        <f t="shared" si="203"/>
        <v>600</v>
      </c>
      <c r="AZ89" s="3">
        <f t="shared" si="203"/>
        <v>600</v>
      </c>
      <c r="BA89" s="3">
        <f t="shared" si="203"/>
        <v>600</v>
      </c>
      <c r="BB89" s="3">
        <f t="shared" si="203"/>
        <v>600</v>
      </c>
      <c r="BC89" s="3">
        <f t="shared" si="100"/>
        <v>600</v>
      </c>
      <c r="BD89" s="3">
        <f t="shared" si="138"/>
        <v>600</v>
      </c>
      <c r="BE89" s="3">
        <f t="shared" si="166"/>
        <v>600</v>
      </c>
      <c r="BF89" s="3">
        <f t="shared" si="185"/>
        <v>600</v>
      </c>
      <c r="BG89" s="66">
        <f t="shared" si="214"/>
        <v>600</v>
      </c>
      <c r="BH89" s="69"/>
      <c r="BI89" s="70">
        <f t="shared" si="215"/>
        <v>-2201562174.1275792</v>
      </c>
      <c r="BJ89" s="69"/>
      <c r="BK89" s="23">
        <f t="shared" si="216"/>
        <v>650</v>
      </c>
      <c r="BL89" s="3">
        <f t="shared" si="189"/>
        <v>650</v>
      </c>
      <c r="BM89" s="3">
        <f t="shared" si="167"/>
        <v>650</v>
      </c>
      <c r="BN89" s="3">
        <f t="shared" si="146"/>
        <v>650</v>
      </c>
      <c r="BO89" s="3">
        <f t="shared" si="110"/>
        <v>650</v>
      </c>
      <c r="BP89" s="3">
        <f t="shared" si="204"/>
        <v>650</v>
      </c>
      <c r="BQ89" s="3">
        <f t="shared" si="204"/>
        <v>650</v>
      </c>
      <c r="BR89" s="3">
        <f t="shared" si="204"/>
        <v>650</v>
      </c>
      <c r="BS89" s="3">
        <f t="shared" si="204"/>
        <v>650</v>
      </c>
      <c r="BT89" s="3">
        <f t="shared" si="204"/>
        <v>650</v>
      </c>
      <c r="BU89" s="3">
        <f t="shared" si="204"/>
        <v>650</v>
      </c>
      <c r="BV89" s="3">
        <f t="shared" si="204"/>
        <v>650</v>
      </c>
      <c r="BW89" s="3">
        <f t="shared" si="204"/>
        <v>650</v>
      </c>
      <c r="BX89" s="3">
        <f t="shared" si="204"/>
        <v>650</v>
      </c>
      <c r="BY89" s="5">
        <v>40</v>
      </c>
      <c r="BZ89" s="6">
        <f t="shared" si="45"/>
        <v>0.3611111111111111</v>
      </c>
      <c r="CC89" s="94"/>
      <c r="CD89" s="95"/>
      <c r="CE89" s="5">
        <v>40</v>
      </c>
      <c r="CF89" s="6">
        <f t="shared" si="46"/>
        <v>0.3611111111111111</v>
      </c>
      <c r="CG89" s="3">
        <f t="shared" si="205"/>
        <v>600</v>
      </c>
      <c r="CH89" s="3">
        <f t="shared" si="205"/>
        <v>600</v>
      </c>
      <c r="CI89" s="3">
        <f t="shared" si="205"/>
        <v>600</v>
      </c>
      <c r="CJ89" s="3">
        <f t="shared" si="205"/>
        <v>600</v>
      </c>
      <c r="CK89" s="3">
        <f t="shared" si="205"/>
        <v>600</v>
      </c>
      <c r="CL89" s="3">
        <f t="shared" si="205"/>
        <v>600</v>
      </c>
      <c r="CM89" s="3">
        <f t="shared" si="205"/>
        <v>600</v>
      </c>
      <c r="CN89" s="3">
        <f t="shared" si="205"/>
        <v>600</v>
      </c>
      <c r="CO89" s="3">
        <f t="shared" si="205"/>
        <v>600</v>
      </c>
      <c r="CP89" s="3">
        <f t="shared" si="111"/>
        <v>600</v>
      </c>
      <c r="CQ89" s="3">
        <f t="shared" si="147"/>
        <v>600</v>
      </c>
      <c r="CR89" s="3">
        <f t="shared" si="168"/>
        <v>600</v>
      </c>
      <c r="CS89" s="3">
        <f t="shared" si="190"/>
        <v>600</v>
      </c>
      <c r="CT89" s="3">
        <f t="shared" si="217"/>
        <v>600</v>
      </c>
      <c r="CU89" s="3">
        <f t="shared" ref="CU89:CW89" si="236">$L$2/($L$3-$L$4*CT89)</f>
        <v>-1.6746678575415876E-3</v>
      </c>
      <c r="CV89" s="3">
        <f t="shared" si="236"/>
        <v>0.34863354230673421</v>
      </c>
      <c r="CW89" s="3">
        <f t="shared" si="236"/>
        <v>0.39713536344133415</v>
      </c>
      <c r="CX89" s="3">
        <f t="shared" si="219"/>
        <v>650</v>
      </c>
      <c r="CY89" s="3">
        <f t="shared" si="192"/>
        <v>650</v>
      </c>
      <c r="CZ89" s="3">
        <f t="shared" si="169"/>
        <v>650</v>
      </c>
      <c r="DA89" s="3">
        <f t="shared" si="148"/>
        <v>650</v>
      </c>
      <c r="DB89" s="3">
        <f t="shared" si="113"/>
        <v>650</v>
      </c>
      <c r="DC89" s="3">
        <f t="shared" si="207"/>
        <v>650</v>
      </c>
      <c r="DD89" s="3">
        <f t="shared" si="207"/>
        <v>650</v>
      </c>
      <c r="DE89" s="3">
        <f t="shared" si="207"/>
        <v>650</v>
      </c>
      <c r="DF89" s="3">
        <f t="shared" si="207"/>
        <v>650</v>
      </c>
      <c r="DG89" s="3">
        <f t="shared" si="207"/>
        <v>650</v>
      </c>
      <c r="DH89" s="3">
        <f t="shared" si="207"/>
        <v>650</v>
      </c>
      <c r="DI89" s="3">
        <f t="shared" si="207"/>
        <v>650</v>
      </c>
      <c r="DJ89" s="3">
        <f t="shared" si="207"/>
        <v>650</v>
      </c>
      <c r="DK89" s="3">
        <f t="shared" si="207"/>
        <v>650</v>
      </c>
      <c r="DL89" s="5">
        <v>40</v>
      </c>
      <c r="DM89" s="6">
        <f t="shared" si="50"/>
        <v>0.3611111111111111</v>
      </c>
      <c r="DQ89" s="94"/>
      <c r="DR89" s="95"/>
      <c r="DS89" s="5">
        <v>40</v>
      </c>
      <c r="DT89" s="6">
        <f t="shared" si="51"/>
        <v>0.3611111111111111</v>
      </c>
      <c r="DU89" s="3">
        <f t="shared" si="208"/>
        <v>600</v>
      </c>
      <c r="DV89" s="3">
        <f t="shared" si="208"/>
        <v>600</v>
      </c>
      <c r="DW89" s="3">
        <f t="shared" si="208"/>
        <v>600</v>
      </c>
      <c r="DX89" s="3">
        <f t="shared" si="208"/>
        <v>600</v>
      </c>
      <c r="DY89" s="3">
        <f t="shared" si="208"/>
        <v>600</v>
      </c>
      <c r="DZ89" s="3">
        <f t="shared" si="208"/>
        <v>600</v>
      </c>
      <c r="EA89" s="3">
        <f t="shared" si="208"/>
        <v>600</v>
      </c>
      <c r="EB89" s="3">
        <f t="shared" si="208"/>
        <v>600</v>
      </c>
      <c r="EC89" s="3">
        <f t="shared" si="208"/>
        <v>600</v>
      </c>
      <c r="ED89" s="3">
        <f t="shared" si="114"/>
        <v>600</v>
      </c>
      <c r="EE89" s="3">
        <f t="shared" si="149"/>
        <v>600</v>
      </c>
      <c r="EF89" s="3">
        <f t="shared" si="170"/>
        <v>600</v>
      </c>
      <c r="EG89" s="3">
        <f t="shared" si="193"/>
        <v>600</v>
      </c>
      <c r="EH89" s="3">
        <f t="shared" si="220"/>
        <v>600</v>
      </c>
      <c r="EI89" s="3">
        <f t="shared" si="227"/>
        <v>612.84567284709669</v>
      </c>
      <c r="EJ89" s="3">
        <f t="shared" si="221"/>
        <v>399.05431128416615</v>
      </c>
      <c r="EK89" s="3">
        <f t="shared" si="222"/>
        <v>158.47857894466864</v>
      </c>
      <c r="EL89" s="3">
        <f t="shared" si="223"/>
        <v>650</v>
      </c>
      <c r="EM89" s="3">
        <f t="shared" si="198"/>
        <v>650</v>
      </c>
      <c r="EN89" s="3">
        <f t="shared" si="177"/>
        <v>650</v>
      </c>
      <c r="EO89" s="3">
        <f t="shared" si="158"/>
        <v>650</v>
      </c>
      <c r="EP89" s="3">
        <f t="shared" si="125"/>
        <v>650</v>
      </c>
      <c r="EQ89" s="3">
        <f t="shared" si="209"/>
        <v>650</v>
      </c>
      <c r="ER89" s="3">
        <f t="shared" si="209"/>
        <v>650</v>
      </c>
      <c r="ES89" s="3">
        <f t="shared" si="209"/>
        <v>650</v>
      </c>
      <c r="ET89" s="3">
        <f t="shared" si="209"/>
        <v>650</v>
      </c>
      <c r="EU89" s="3">
        <f t="shared" si="209"/>
        <v>650</v>
      </c>
      <c r="EV89" s="3">
        <f t="shared" si="209"/>
        <v>650</v>
      </c>
      <c r="EW89" s="3">
        <f t="shared" si="209"/>
        <v>650</v>
      </c>
      <c r="EX89" s="3">
        <f t="shared" si="209"/>
        <v>650</v>
      </c>
      <c r="EY89" s="3">
        <f t="shared" si="209"/>
        <v>650</v>
      </c>
      <c r="EZ89" s="5">
        <v>40</v>
      </c>
      <c r="FA89" s="6">
        <f t="shared" si="55"/>
        <v>0.3611111111111111</v>
      </c>
    </row>
    <row r="90" spans="3:157" x14ac:dyDescent="0.3">
      <c r="C90" s="94"/>
      <c r="D90" s="95"/>
      <c r="E90" s="5">
        <v>39</v>
      </c>
      <c r="F90" s="6">
        <f t="shared" si="36"/>
        <v>0.35185185185185186</v>
      </c>
      <c r="G90" s="3">
        <f t="shared" si="199"/>
        <v>600</v>
      </c>
      <c r="H90" s="3">
        <f t="shared" si="199"/>
        <v>600</v>
      </c>
      <c r="I90" s="3">
        <f t="shared" si="199"/>
        <v>600</v>
      </c>
      <c r="J90" s="3">
        <f t="shared" si="199"/>
        <v>600</v>
      </c>
      <c r="K90" s="3">
        <f t="shared" si="199"/>
        <v>600</v>
      </c>
      <c r="L90" s="3">
        <f t="shared" si="199"/>
        <v>600</v>
      </c>
      <c r="M90" s="3">
        <f t="shared" si="199"/>
        <v>600</v>
      </c>
      <c r="N90" s="3">
        <f t="shared" si="199"/>
        <v>600</v>
      </c>
      <c r="O90" s="3">
        <f t="shared" si="199"/>
        <v>600</v>
      </c>
      <c r="P90" s="3">
        <f t="shared" si="87"/>
        <v>600</v>
      </c>
      <c r="Q90" s="3">
        <f t="shared" si="129"/>
        <v>600</v>
      </c>
      <c r="R90" s="3">
        <f t="shared" si="159"/>
        <v>600</v>
      </c>
      <c r="S90" s="3">
        <f t="shared" si="178"/>
        <v>600</v>
      </c>
      <c r="T90" s="3">
        <f t="shared" si="210"/>
        <v>600</v>
      </c>
      <c r="U90" s="3">
        <f t="shared" ref="U90" si="237">($F$5*$B$5*T27+$F$4*V27)/($F$4+$F$5*$B$5)</f>
        <v>611.91806530251245</v>
      </c>
      <c r="V90" s="3">
        <f t="shared" si="181"/>
        <v>612.55358399256488</v>
      </c>
      <c r="W90" s="3">
        <f t="shared" ref="W90" si="238">($F$6*$B$5*X27+$F$4*V27)/($F$4+$F$6*$B$5)</f>
        <v>614.16692732060289</v>
      </c>
      <c r="X90" s="3">
        <f t="shared" si="213"/>
        <v>650</v>
      </c>
      <c r="Y90" s="3">
        <f t="shared" si="184"/>
        <v>650</v>
      </c>
      <c r="Z90" s="3">
        <f t="shared" si="165"/>
        <v>650</v>
      </c>
      <c r="AA90" s="3">
        <f t="shared" si="137"/>
        <v>650</v>
      </c>
      <c r="AB90" s="3">
        <f t="shared" si="99"/>
        <v>650</v>
      </c>
      <c r="AC90" s="3">
        <f t="shared" si="202"/>
        <v>650</v>
      </c>
      <c r="AD90" s="3">
        <f t="shared" si="202"/>
        <v>650</v>
      </c>
      <c r="AE90" s="3">
        <f t="shared" si="202"/>
        <v>650</v>
      </c>
      <c r="AF90" s="3">
        <f t="shared" si="202"/>
        <v>650</v>
      </c>
      <c r="AG90" s="3">
        <f t="shared" si="202"/>
        <v>650</v>
      </c>
      <c r="AH90" s="3">
        <f t="shared" si="202"/>
        <v>650</v>
      </c>
      <c r="AI90" s="3">
        <f t="shared" si="202"/>
        <v>650</v>
      </c>
      <c r="AJ90" s="3">
        <f t="shared" si="202"/>
        <v>650</v>
      </c>
      <c r="AK90" s="3">
        <f t="shared" si="202"/>
        <v>650</v>
      </c>
      <c r="AL90" s="5">
        <v>39</v>
      </c>
      <c r="AM90" s="6">
        <f t="shared" si="40"/>
        <v>0.35185185185185186</v>
      </c>
      <c r="AP90" s="102"/>
      <c r="AQ90" s="101"/>
      <c r="AR90" s="5">
        <v>39</v>
      </c>
      <c r="AS90" s="6">
        <f t="shared" si="41"/>
        <v>0.35185185185185186</v>
      </c>
      <c r="AT90" s="3">
        <f t="shared" si="203"/>
        <v>600</v>
      </c>
      <c r="AU90" s="3">
        <f t="shared" si="203"/>
        <v>600</v>
      </c>
      <c r="AV90" s="3">
        <f t="shared" si="203"/>
        <v>600</v>
      </c>
      <c r="AW90" s="3">
        <f t="shared" si="203"/>
        <v>600</v>
      </c>
      <c r="AX90" s="3">
        <f t="shared" si="203"/>
        <v>600</v>
      </c>
      <c r="AY90" s="3">
        <f t="shared" si="203"/>
        <v>600</v>
      </c>
      <c r="AZ90" s="3">
        <f t="shared" si="203"/>
        <v>600</v>
      </c>
      <c r="BA90" s="3">
        <f t="shared" si="203"/>
        <v>600</v>
      </c>
      <c r="BB90" s="3">
        <f t="shared" si="203"/>
        <v>600</v>
      </c>
      <c r="BC90" s="3">
        <f t="shared" si="100"/>
        <v>600</v>
      </c>
      <c r="BD90" s="3">
        <f t="shared" si="138"/>
        <v>600</v>
      </c>
      <c r="BE90" s="3">
        <f t="shared" si="166"/>
        <v>600</v>
      </c>
      <c r="BF90" s="3">
        <f t="shared" si="185"/>
        <v>600</v>
      </c>
      <c r="BG90" s="66">
        <f t="shared" si="214"/>
        <v>600</v>
      </c>
      <c r="BH90" s="69"/>
      <c r="BI90" s="70">
        <f t="shared" si="215"/>
        <v>-2198040975.8883371</v>
      </c>
      <c r="BJ90" s="69"/>
      <c r="BK90" s="23">
        <f t="shared" si="216"/>
        <v>650</v>
      </c>
      <c r="BL90" s="3">
        <f t="shared" si="189"/>
        <v>650</v>
      </c>
      <c r="BM90" s="3">
        <f t="shared" si="167"/>
        <v>650</v>
      </c>
      <c r="BN90" s="3">
        <f t="shared" si="146"/>
        <v>650</v>
      </c>
      <c r="BO90" s="3">
        <f t="shared" si="110"/>
        <v>650</v>
      </c>
      <c r="BP90" s="3">
        <f t="shared" si="204"/>
        <v>650</v>
      </c>
      <c r="BQ90" s="3">
        <f t="shared" si="204"/>
        <v>650</v>
      </c>
      <c r="BR90" s="3">
        <f t="shared" si="204"/>
        <v>650</v>
      </c>
      <c r="BS90" s="3">
        <f t="shared" si="204"/>
        <v>650</v>
      </c>
      <c r="BT90" s="3">
        <f t="shared" si="204"/>
        <v>650</v>
      </c>
      <c r="BU90" s="3">
        <f t="shared" si="204"/>
        <v>650</v>
      </c>
      <c r="BV90" s="3">
        <f t="shared" si="204"/>
        <v>650</v>
      </c>
      <c r="BW90" s="3">
        <f t="shared" si="204"/>
        <v>650</v>
      </c>
      <c r="BX90" s="3">
        <f t="shared" si="204"/>
        <v>650</v>
      </c>
      <c r="BY90" s="5">
        <v>39</v>
      </c>
      <c r="BZ90" s="6">
        <f t="shared" si="45"/>
        <v>0.35185185185185186</v>
      </c>
      <c r="CC90" s="94"/>
      <c r="CD90" s="95"/>
      <c r="CE90" s="5">
        <v>39</v>
      </c>
      <c r="CF90" s="6">
        <f t="shared" si="46"/>
        <v>0.35185185185185186</v>
      </c>
      <c r="CG90" s="3">
        <f t="shared" si="205"/>
        <v>600</v>
      </c>
      <c r="CH90" s="3">
        <f t="shared" si="205"/>
        <v>600</v>
      </c>
      <c r="CI90" s="3">
        <f t="shared" si="205"/>
        <v>600</v>
      </c>
      <c r="CJ90" s="3">
        <f t="shared" si="205"/>
        <v>600</v>
      </c>
      <c r="CK90" s="3">
        <f t="shared" si="205"/>
        <v>600</v>
      </c>
      <c r="CL90" s="3">
        <f t="shared" si="205"/>
        <v>600</v>
      </c>
      <c r="CM90" s="3">
        <f t="shared" si="205"/>
        <v>600</v>
      </c>
      <c r="CN90" s="3">
        <f t="shared" si="205"/>
        <v>600</v>
      </c>
      <c r="CO90" s="3">
        <f t="shared" si="205"/>
        <v>600</v>
      </c>
      <c r="CP90" s="3">
        <f t="shared" si="111"/>
        <v>600</v>
      </c>
      <c r="CQ90" s="3">
        <f t="shared" si="147"/>
        <v>600</v>
      </c>
      <c r="CR90" s="3">
        <f t="shared" si="168"/>
        <v>600</v>
      </c>
      <c r="CS90" s="3">
        <f t="shared" si="190"/>
        <v>600</v>
      </c>
      <c r="CT90" s="3">
        <f t="shared" si="217"/>
        <v>600</v>
      </c>
      <c r="CU90" s="3">
        <f t="shared" ref="CU90:CW90" si="239">$L$2/($L$3-$L$4*CT90)</f>
        <v>-1.6746678575415876E-3</v>
      </c>
      <c r="CV90" s="3">
        <f t="shared" si="239"/>
        <v>0.34863354230673421</v>
      </c>
      <c r="CW90" s="3">
        <f t="shared" si="239"/>
        <v>0.39713536344133415</v>
      </c>
      <c r="CX90" s="3">
        <f t="shared" si="219"/>
        <v>650</v>
      </c>
      <c r="CY90" s="3">
        <f t="shared" si="192"/>
        <v>650</v>
      </c>
      <c r="CZ90" s="3">
        <f t="shared" si="169"/>
        <v>650</v>
      </c>
      <c r="DA90" s="3">
        <f t="shared" si="148"/>
        <v>650</v>
      </c>
      <c r="DB90" s="3">
        <f t="shared" si="113"/>
        <v>650</v>
      </c>
      <c r="DC90" s="3">
        <f t="shared" si="207"/>
        <v>650</v>
      </c>
      <c r="DD90" s="3">
        <f t="shared" si="207"/>
        <v>650</v>
      </c>
      <c r="DE90" s="3">
        <f t="shared" si="207"/>
        <v>650</v>
      </c>
      <c r="DF90" s="3">
        <f t="shared" si="207"/>
        <v>650</v>
      </c>
      <c r="DG90" s="3">
        <f t="shared" si="207"/>
        <v>650</v>
      </c>
      <c r="DH90" s="3">
        <f t="shared" si="207"/>
        <v>650</v>
      </c>
      <c r="DI90" s="3">
        <f t="shared" si="207"/>
        <v>650</v>
      </c>
      <c r="DJ90" s="3">
        <f t="shared" si="207"/>
        <v>650</v>
      </c>
      <c r="DK90" s="3">
        <f t="shared" si="207"/>
        <v>650</v>
      </c>
      <c r="DL90" s="5">
        <v>39</v>
      </c>
      <c r="DM90" s="6">
        <f t="shared" si="50"/>
        <v>0.35185185185185186</v>
      </c>
      <c r="DQ90" s="94"/>
      <c r="DR90" s="95"/>
      <c r="DS90" s="5">
        <v>39</v>
      </c>
      <c r="DT90" s="6">
        <f t="shared" si="51"/>
        <v>0.35185185185185186</v>
      </c>
      <c r="DU90" s="3">
        <f t="shared" si="208"/>
        <v>600</v>
      </c>
      <c r="DV90" s="3">
        <f t="shared" si="208"/>
        <v>600</v>
      </c>
      <c r="DW90" s="3">
        <f t="shared" si="208"/>
        <v>600</v>
      </c>
      <c r="DX90" s="3">
        <f t="shared" si="208"/>
        <v>600</v>
      </c>
      <c r="DY90" s="3">
        <f t="shared" si="208"/>
        <v>600</v>
      </c>
      <c r="DZ90" s="3">
        <f t="shared" si="208"/>
        <v>600</v>
      </c>
      <c r="EA90" s="3">
        <f t="shared" si="208"/>
        <v>600</v>
      </c>
      <c r="EB90" s="3">
        <f t="shared" si="208"/>
        <v>600</v>
      </c>
      <c r="EC90" s="3">
        <f t="shared" si="208"/>
        <v>600</v>
      </c>
      <c r="ED90" s="3">
        <f t="shared" si="114"/>
        <v>600</v>
      </c>
      <c r="EE90" s="3">
        <f t="shared" si="149"/>
        <v>600</v>
      </c>
      <c r="EF90" s="3">
        <f t="shared" si="170"/>
        <v>600</v>
      </c>
      <c r="EG90" s="3">
        <f t="shared" si="193"/>
        <v>600</v>
      </c>
      <c r="EH90" s="3">
        <f t="shared" si="220"/>
        <v>600</v>
      </c>
      <c r="EI90" s="3">
        <f t="shared" si="227"/>
        <v>611.91806530251245</v>
      </c>
      <c r="EJ90" s="3">
        <f t="shared" si="221"/>
        <v>398.43439255314047</v>
      </c>
      <c r="EK90" s="3">
        <f t="shared" si="222"/>
        <v>158.23238729411867</v>
      </c>
      <c r="EL90" s="3">
        <f t="shared" si="223"/>
        <v>650</v>
      </c>
      <c r="EM90" s="3">
        <f t="shared" si="198"/>
        <v>650</v>
      </c>
      <c r="EN90" s="3">
        <f t="shared" si="177"/>
        <v>650</v>
      </c>
      <c r="EO90" s="3">
        <f t="shared" si="158"/>
        <v>650</v>
      </c>
      <c r="EP90" s="3">
        <f t="shared" si="125"/>
        <v>650</v>
      </c>
      <c r="EQ90" s="3">
        <f t="shared" si="209"/>
        <v>650</v>
      </c>
      <c r="ER90" s="3">
        <f t="shared" si="209"/>
        <v>650</v>
      </c>
      <c r="ES90" s="3">
        <f t="shared" si="209"/>
        <v>650</v>
      </c>
      <c r="ET90" s="3">
        <f t="shared" si="209"/>
        <v>650</v>
      </c>
      <c r="EU90" s="3">
        <f t="shared" si="209"/>
        <v>650</v>
      </c>
      <c r="EV90" s="3">
        <f t="shared" si="209"/>
        <v>650</v>
      </c>
      <c r="EW90" s="3">
        <f t="shared" si="209"/>
        <v>650</v>
      </c>
      <c r="EX90" s="3">
        <f t="shared" si="209"/>
        <v>650</v>
      </c>
      <c r="EY90" s="3">
        <f t="shared" si="209"/>
        <v>650</v>
      </c>
      <c r="EZ90" s="5">
        <v>39</v>
      </c>
      <c r="FA90" s="6">
        <f t="shared" si="55"/>
        <v>0.35185185185185186</v>
      </c>
    </row>
    <row r="91" spans="3:157" x14ac:dyDescent="0.3">
      <c r="C91" s="94"/>
      <c r="D91" s="95"/>
      <c r="E91" s="5">
        <v>38</v>
      </c>
      <c r="F91" s="6">
        <f t="shared" si="36"/>
        <v>0.34259259259259256</v>
      </c>
      <c r="G91" s="3">
        <f t="shared" si="199"/>
        <v>600</v>
      </c>
      <c r="H91" s="3">
        <f t="shared" si="199"/>
        <v>600</v>
      </c>
      <c r="I91" s="3">
        <f t="shared" si="199"/>
        <v>600</v>
      </c>
      <c r="J91" s="3">
        <f t="shared" si="199"/>
        <v>600</v>
      </c>
      <c r="K91" s="3">
        <f t="shared" si="199"/>
        <v>600</v>
      </c>
      <c r="L91" s="3">
        <f t="shared" si="199"/>
        <v>600</v>
      </c>
      <c r="M91" s="3">
        <f t="shared" si="199"/>
        <v>600</v>
      </c>
      <c r="N91" s="3">
        <f t="shared" si="199"/>
        <v>600</v>
      </c>
      <c r="O91" s="3">
        <f t="shared" si="199"/>
        <v>600</v>
      </c>
      <c r="P91" s="3">
        <f t="shared" si="87"/>
        <v>600</v>
      </c>
      <c r="Q91" s="3">
        <f t="shared" si="129"/>
        <v>600</v>
      </c>
      <c r="R91" s="3">
        <f t="shared" si="159"/>
        <v>600</v>
      </c>
      <c r="S91" s="3">
        <f t="shared" si="178"/>
        <v>600</v>
      </c>
      <c r="T91" s="3">
        <f t="shared" si="210"/>
        <v>600</v>
      </c>
      <c r="U91" s="3">
        <f t="shared" ref="U91" si="240">($F$5*$B$5*T28+$F$4*V28)/($F$4+$F$5*$B$5)</f>
        <v>611.34059610945133</v>
      </c>
      <c r="V91" s="3">
        <f t="shared" si="181"/>
        <v>611.96354088408646</v>
      </c>
      <c r="W91" s="3">
        <f t="shared" ref="W91" si="241">($F$6*$B$5*X28+$F$4*V28)/($F$4+$F$6*$B$5)</f>
        <v>613.58143772208257</v>
      </c>
      <c r="X91" s="3">
        <f t="shared" si="213"/>
        <v>650</v>
      </c>
      <c r="Y91" s="3">
        <f t="shared" si="184"/>
        <v>650</v>
      </c>
      <c r="Z91" s="3">
        <f t="shared" si="165"/>
        <v>650</v>
      </c>
      <c r="AA91" s="3">
        <f t="shared" si="137"/>
        <v>650</v>
      </c>
      <c r="AB91" s="3">
        <f t="shared" si="99"/>
        <v>650</v>
      </c>
      <c r="AC91" s="3">
        <f t="shared" si="202"/>
        <v>650</v>
      </c>
      <c r="AD91" s="3">
        <f t="shared" si="202"/>
        <v>650</v>
      </c>
      <c r="AE91" s="3">
        <f t="shared" si="202"/>
        <v>650</v>
      </c>
      <c r="AF91" s="3">
        <f t="shared" si="202"/>
        <v>650</v>
      </c>
      <c r="AG91" s="3">
        <f t="shared" si="202"/>
        <v>650</v>
      </c>
      <c r="AH91" s="3">
        <f t="shared" si="202"/>
        <v>650</v>
      </c>
      <c r="AI91" s="3">
        <f t="shared" si="202"/>
        <v>650</v>
      </c>
      <c r="AJ91" s="3">
        <f t="shared" si="202"/>
        <v>650</v>
      </c>
      <c r="AK91" s="3">
        <f t="shared" si="202"/>
        <v>650</v>
      </c>
      <c r="AL91" s="5">
        <v>38</v>
      </c>
      <c r="AM91" s="6">
        <f t="shared" si="40"/>
        <v>0.34259259259259256</v>
      </c>
      <c r="AP91" s="102"/>
      <c r="AQ91" s="101"/>
      <c r="AR91" s="5">
        <v>38</v>
      </c>
      <c r="AS91" s="6">
        <f t="shared" si="41"/>
        <v>0.34259259259259256</v>
      </c>
      <c r="AT91" s="3">
        <f t="shared" si="203"/>
        <v>600</v>
      </c>
      <c r="AU91" s="3">
        <f t="shared" si="203"/>
        <v>600</v>
      </c>
      <c r="AV91" s="3">
        <f t="shared" si="203"/>
        <v>600</v>
      </c>
      <c r="AW91" s="3">
        <f t="shared" si="203"/>
        <v>600</v>
      </c>
      <c r="AX91" s="3">
        <f t="shared" si="203"/>
        <v>600</v>
      </c>
      <c r="AY91" s="3">
        <f t="shared" si="203"/>
        <v>600</v>
      </c>
      <c r="AZ91" s="3">
        <f t="shared" si="203"/>
        <v>600</v>
      </c>
      <c r="BA91" s="3">
        <f t="shared" si="203"/>
        <v>600</v>
      </c>
      <c r="BB91" s="3">
        <f t="shared" si="203"/>
        <v>600</v>
      </c>
      <c r="BC91" s="3">
        <f t="shared" si="100"/>
        <v>600</v>
      </c>
      <c r="BD91" s="3">
        <f t="shared" si="138"/>
        <v>600</v>
      </c>
      <c r="BE91" s="3">
        <f t="shared" si="166"/>
        <v>600</v>
      </c>
      <c r="BF91" s="3">
        <f t="shared" si="185"/>
        <v>600</v>
      </c>
      <c r="BG91" s="66">
        <f t="shared" si="214"/>
        <v>600</v>
      </c>
      <c r="BH91" s="69"/>
      <c r="BI91" s="70">
        <f t="shared" si="215"/>
        <v>-2195848902.8314772</v>
      </c>
      <c r="BJ91" s="69"/>
      <c r="BK91" s="23">
        <f t="shared" si="216"/>
        <v>650</v>
      </c>
      <c r="BL91" s="3">
        <f t="shared" si="189"/>
        <v>650</v>
      </c>
      <c r="BM91" s="3">
        <f t="shared" si="167"/>
        <v>650</v>
      </c>
      <c r="BN91" s="3">
        <f t="shared" si="146"/>
        <v>650</v>
      </c>
      <c r="BO91" s="3">
        <f t="shared" si="110"/>
        <v>650</v>
      </c>
      <c r="BP91" s="3">
        <f t="shared" si="204"/>
        <v>650</v>
      </c>
      <c r="BQ91" s="3">
        <f t="shared" si="204"/>
        <v>650</v>
      </c>
      <c r="BR91" s="3">
        <f t="shared" si="204"/>
        <v>650</v>
      </c>
      <c r="BS91" s="3">
        <f t="shared" si="204"/>
        <v>650</v>
      </c>
      <c r="BT91" s="3">
        <f t="shared" si="204"/>
        <v>650</v>
      </c>
      <c r="BU91" s="3">
        <f t="shared" si="204"/>
        <v>650</v>
      </c>
      <c r="BV91" s="3">
        <f t="shared" si="204"/>
        <v>650</v>
      </c>
      <c r="BW91" s="3">
        <f t="shared" si="204"/>
        <v>650</v>
      </c>
      <c r="BX91" s="3">
        <f t="shared" si="204"/>
        <v>650</v>
      </c>
      <c r="BY91" s="5">
        <v>38</v>
      </c>
      <c r="BZ91" s="6">
        <f t="shared" si="45"/>
        <v>0.34259259259259256</v>
      </c>
      <c r="CC91" s="94"/>
      <c r="CD91" s="95"/>
      <c r="CE91" s="5">
        <v>38</v>
      </c>
      <c r="CF91" s="6">
        <f t="shared" si="46"/>
        <v>0.34259259259259256</v>
      </c>
      <c r="CG91" s="3">
        <f t="shared" si="205"/>
        <v>600</v>
      </c>
      <c r="CH91" s="3">
        <f t="shared" si="205"/>
        <v>600</v>
      </c>
      <c r="CI91" s="3">
        <f t="shared" si="205"/>
        <v>600</v>
      </c>
      <c r="CJ91" s="3">
        <f t="shared" si="205"/>
        <v>600</v>
      </c>
      <c r="CK91" s="3">
        <f t="shared" si="205"/>
        <v>600</v>
      </c>
      <c r="CL91" s="3">
        <f t="shared" si="205"/>
        <v>600</v>
      </c>
      <c r="CM91" s="3">
        <f t="shared" si="205"/>
        <v>600</v>
      </c>
      <c r="CN91" s="3">
        <f t="shared" si="205"/>
        <v>600</v>
      </c>
      <c r="CO91" s="3">
        <f t="shared" si="205"/>
        <v>600</v>
      </c>
      <c r="CP91" s="3">
        <f t="shared" si="111"/>
        <v>600</v>
      </c>
      <c r="CQ91" s="3">
        <f t="shared" si="147"/>
        <v>600</v>
      </c>
      <c r="CR91" s="3">
        <f t="shared" si="168"/>
        <v>600</v>
      </c>
      <c r="CS91" s="3">
        <f t="shared" si="190"/>
        <v>600</v>
      </c>
      <c r="CT91" s="3">
        <f t="shared" si="217"/>
        <v>600</v>
      </c>
      <c r="CU91" s="3">
        <f t="shared" ref="CU91:CW91" si="242">$L$2/($L$3-$L$4*CT91)</f>
        <v>-1.6746678575415876E-3</v>
      </c>
      <c r="CV91" s="3">
        <f t="shared" si="242"/>
        <v>0.34863354230673421</v>
      </c>
      <c r="CW91" s="3">
        <f t="shared" si="242"/>
        <v>0.39713536344133415</v>
      </c>
      <c r="CX91" s="3">
        <f t="shared" si="219"/>
        <v>650</v>
      </c>
      <c r="CY91" s="3">
        <f t="shared" si="192"/>
        <v>650</v>
      </c>
      <c r="CZ91" s="3">
        <f t="shared" si="169"/>
        <v>650</v>
      </c>
      <c r="DA91" s="3">
        <f t="shared" si="148"/>
        <v>650</v>
      </c>
      <c r="DB91" s="3">
        <f t="shared" si="113"/>
        <v>650</v>
      </c>
      <c r="DC91" s="3">
        <f t="shared" si="207"/>
        <v>650</v>
      </c>
      <c r="DD91" s="3">
        <f t="shared" si="207"/>
        <v>650</v>
      </c>
      <c r="DE91" s="3">
        <f t="shared" si="207"/>
        <v>650</v>
      </c>
      <c r="DF91" s="3">
        <f t="shared" si="207"/>
        <v>650</v>
      </c>
      <c r="DG91" s="3">
        <f t="shared" si="207"/>
        <v>650</v>
      </c>
      <c r="DH91" s="3">
        <f t="shared" si="207"/>
        <v>650</v>
      </c>
      <c r="DI91" s="3">
        <f t="shared" si="207"/>
        <v>650</v>
      </c>
      <c r="DJ91" s="3">
        <f t="shared" si="207"/>
        <v>650</v>
      </c>
      <c r="DK91" s="3">
        <f t="shared" si="207"/>
        <v>650</v>
      </c>
      <c r="DL91" s="5">
        <v>38</v>
      </c>
      <c r="DM91" s="6">
        <f t="shared" si="50"/>
        <v>0.34259259259259256</v>
      </c>
      <c r="DQ91" s="94"/>
      <c r="DR91" s="95"/>
      <c r="DS91" s="5">
        <v>38</v>
      </c>
      <c r="DT91" s="6">
        <f t="shared" si="51"/>
        <v>0.34259259259259256</v>
      </c>
      <c r="DU91" s="3">
        <f t="shared" si="208"/>
        <v>600</v>
      </c>
      <c r="DV91" s="3">
        <f t="shared" si="208"/>
        <v>600</v>
      </c>
      <c r="DW91" s="3">
        <f t="shared" si="208"/>
        <v>600</v>
      </c>
      <c r="DX91" s="3">
        <f t="shared" si="208"/>
        <v>600</v>
      </c>
      <c r="DY91" s="3">
        <f t="shared" si="208"/>
        <v>600</v>
      </c>
      <c r="DZ91" s="3">
        <f t="shared" si="208"/>
        <v>600</v>
      </c>
      <c r="EA91" s="3">
        <f t="shared" si="208"/>
        <v>600</v>
      </c>
      <c r="EB91" s="3">
        <f t="shared" si="208"/>
        <v>600</v>
      </c>
      <c r="EC91" s="3">
        <f t="shared" si="208"/>
        <v>600</v>
      </c>
      <c r="ED91" s="3">
        <f t="shared" si="114"/>
        <v>600</v>
      </c>
      <c r="EE91" s="3">
        <f t="shared" si="149"/>
        <v>600</v>
      </c>
      <c r="EF91" s="3">
        <f t="shared" si="170"/>
        <v>600</v>
      </c>
      <c r="EG91" s="3">
        <f t="shared" si="193"/>
        <v>600</v>
      </c>
      <c r="EH91" s="3">
        <f t="shared" si="220"/>
        <v>600</v>
      </c>
      <c r="EI91" s="3">
        <f t="shared" si="227"/>
        <v>611.34059610945133</v>
      </c>
      <c r="EJ91" s="3">
        <f t="shared" si="221"/>
        <v>398.04847075737797</v>
      </c>
      <c r="EK91" s="3">
        <f t="shared" si="222"/>
        <v>158.07912410149859</v>
      </c>
      <c r="EL91" s="3">
        <f t="shared" si="223"/>
        <v>650</v>
      </c>
      <c r="EM91" s="3">
        <f t="shared" si="198"/>
        <v>650</v>
      </c>
      <c r="EN91" s="3">
        <f t="shared" si="177"/>
        <v>650</v>
      </c>
      <c r="EO91" s="3">
        <f t="shared" si="158"/>
        <v>650</v>
      </c>
      <c r="EP91" s="3">
        <f t="shared" si="125"/>
        <v>650</v>
      </c>
      <c r="EQ91" s="3">
        <f t="shared" si="209"/>
        <v>650</v>
      </c>
      <c r="ER91" s="3">
        <f t="shared" si="209"/>
        <v>650</v>
      </c>
      <c r="ES91" s="3">
        <f t="shared" si="209"/>
        <v>650</v>
      </c>
      <c r="ET91" s="3">
        <f t="shared" si="209"/>
        <v>650</v>
      </c>
      <c r="EU91" s="3">
        <f t="shared" si="209"/>
        <v>650</v>
      </c>
      <c r="EV91" s="3">
        <f t="shared" si="209"/>
        <v>650</v>
      </c>
      <c r="EW91" s="3">
        <f t="shared" si="209"/>
        <v>650</v>
      </c>
      <c r="EX91" s="3">
        <f t="shared" si="209"/>
        <v>650</v>
      </c>
      <c r="EY91" s="3">
        <f t="shared" si="209"/>
        <v>650</v>
      </c>
      <c r="EZ91" s="5">
        <v>38</v>
      </c>
      <c r="FA91" s="6">
        <f t="shared" si="55"/>
        <v>0.34259259259259256</v>
      </c>
    </row>
    <row r="92" spans="3:157" x14ac:dyDescent="0.3">
      <c r="C92" s="94"/>
      <c r="D92" s="95"/>
      <c r="E92" s="5">
        <v>37</v>
      </c>
      <c r="F92" s="6">
        <f t="shared" si="36"/>
        <v>0.33333333333333331</v>
      </c>
      <c r="G92" s="3">
        <f t="shared" si="199"/>
        <v>600</v>
      </c>
      <c r="H92" s="3">
        <f t="shared" si="199"/>
        <v>600</v>
      </c>
      <c r="I92" s="3">
        <f t="shared" si="199"/>
        <v>600</v>
      </c>
      <c r="J92" s="3">
        <f t="shared" si="199"/>
        <v>600</v>
      </c>
      <c r="K92" s="3">
        <f t="shared" si="199"/>
        <v>600</v>
      </c>
      <c r="L92" s="3">
        <f t="shared" si="199"/>
        <v>600</v>
      </c>
      <c r="M92" s="3">
        <f t="shared" si="199"/>
        <v>600</v>
      </c>
      <c r="N92" s="3">
        <f t="shared" si="199"/>
        <v>600</v>
      </c>
      <c r="O92" s="3">
        <f t="shared" si="199"/>
        <v>600</v>
      </c>
      <c r="P92" s="3">
        <f t="shared" si="87"/>
        <v>600</v>
      </c>
      <c r="Q92" s="3">
        <f t="shared" si="129"/>
        <v>600</v>
      </c>
      <c r="R92" s="3">
        <f t="shared" si="159"/>
        <v>600</v>
      </c>
      <c r="S92" s="3">
        <f t="shared" si="178"/>
        <v>600</v>
      </c>
      <c r="T92" s="3">
        <f t="shared" si="210"/>
        <v>600</v>
      </c>
      <c r="U92" s="3">
        <f t="shared" ref="U92" si="243">($F$5*$B$5*T29+$F$4*V29)/($F$4+$F$5*$B$5)</f>
        <v>610.98112775229811</v>
      </c>
      <c r="V92" s="3">
        <f t="shared" si="181"/>
        <v>611.59624539992387</v>
      </c>
      <c r="W92" s="3">
        <f t="shared" ref="W92" si="244">($F$6*$B$5*X29+$F$4*V29)/($F$4+$F$6*$B$5)</f>
        <v>613.21697674885775</v>
      </c>
      <c r="X92" s="3">
        <f t="shared" si="213"/>
        <v>650</v>
      </c>
      <c r="Y92" s="3">
        <f t="shared" si="184"/>
        <v>650</v>
      </c>
      <c r="Z92" s="3">
        <f t="shared" si="165"/>
        <v>650</v>
      </c>
      <c r="AA92" s="3">
        <f t="shared" si="137"/>
        <v>650</v>
      </c>
      <c r="AB92" s="3">
        <f t="shared" si="99"/>
        <v>650</v>
      </c>
      <c r="AC92" s="3">
        <f t="shared" si="202"/>
        <v>650</v>
      </c>
      <c r="AD92" s="3">
        <f t="shared" si="202"/>
        <v>650</v>
      </c>
      <c r="AE92" s="3">
        <f t="shared" si="202"/>
        <v>650</v>
      </c>
      <c r="AF92" s="3">
        <f t="shared" si="202"/>
        <v>650</v>
      </c>
      <c r="AG92" s="3">
        <f t="shared" si="202"/>
        <v>650</v>
      </c>
      <c r="AH92" s="3">
        <f t="shared" si="202"/>
        <v>650</v>
      </c>
      <c r="AI92" s="3">
        <f t="shared" si="202"/>
        <v>650</v>
      </c>
      <c r="AJ92" s="3">
        <f t="shared" si="202"/>
        <v>650</v>
      </c>
      <c r="AK92" s="3">
        <f t="shared" si="202"/>
        <v>650</v>
      </c>
      <c r="AL92" s="5">
        <v>37</v>
      </c>
      <c r="AM92" s="6">
        <f t="shared" si="40"/>
        <v>0.33333333333333331</v>
      </c>
      <c r="AP92" s="102"/>
      <c r="AQ92" s="101"/>
      <c r="AR92" s="5">
        <v>37</v>
      </c>
      <c r="AS92" s="6">
        <f t="shared" si="41"/>
        <v>0.33333333333333331</v>
      </c>
      <c r="AT92" s="3">
        <f t="shared" si="203"/>
        <v>600</v>
      </c>
      <c r="AU92" s="3">
        <f t="shared" si="203"/>
        <v>600</v>
      </c>
      <c r="AV92" s="3">
        <f t="shared" si="203"/>
        <v>600</v>
      </c>
      <c r="AW92" s="3">
        <f t="shared" si="203"/>
        <v>600</v>
      </c>
      <c r="AX92" s="3">
        <f t="shared" si="203"/>
        <v>600</v>
      </c>
      <c r="AY92" s="3">
        <f t="shared" si="203"/>
        <v>600</v>
      </c>
      <c r="AZ92" s="3">
        <f t="shared" si="203"/>
        <v>600</v>
      </c>
      <c r="BA92" s="3">
        <f t="shared" si="203"/>
        <v>600</v>
      </c>
      <c r="BB92" s="3">
        <f t="shared" si="203"/>
        <v>600</v>
      </c>
      <c r="BC92" s="3">
        <f t="shared" si="100"/>
        <v>600</v>
      </c>
      <c r="BD92" s="3">
        <f t="shared" si="138"/>
        <v>600</v>
      </c>
      <c r="BE92" s="3">
        <f t="shared" si="166"/>
        <v>600</v>
      </c>
      <c r="BF92" s="3">
        <f t="shared" si="185"/>
        <v>600</v>
      </c>
      <c r="BG92" s="66">
        <f t="shared" si="214"/>
        <v>600</v>
      </c>
      <c r="BH92" s="69"/>
      <c r="BI92" s="70">
        <f t="shared" si="215"/>
        <v>-2194484360.9477234</v>
      </c>
      <c r="BJ92" s="69"/>
      <c r="BK92" s="23">
        <f t="shared" si="216"/>
        <v>650</v>
      </c>
      <c r="BL92" s="3">
        <f t="shared" si="189"/>
        <v>650</v>
      </c>
      <c r="BM92" s="3">
        <f t="shared" si="167"/>
        <v>650</v>
      </c>
      <c r="BN92" s="3">
        <f t="shared" si="146"/>
        <v>650</v>
      </c>
      <c r="BO92" s="3">
        <f t="shared" si="110"/>
        <v>650</v>
      </c>
      <c r="BP92" s="3">
        <f t="shared" si="204"/>
        <v>650</v>
      </c>
      <c r="BQ92" s="3">
        <f t="shared" si="204"/>
        <v>650</v>
      </c>
      <c r="BR92" s="3">
        <f t="shared" si="204"/>
        <v>650</v>
      </c>
      <c r="BS92" s="3">
        <f t="shared" si="204"/>
        <v>650</v>
      </c>
      <c r="BT92" s="3">
        <f t="shared" si="204"/>
        <v>650</v>
      </c>
      <c r="BU92" s="3">
        <f t="shared" si="204"/>
        <v>650</v>
      </c>
      <c r="BV92" s="3">
        <f t="shared" si="204"/>
        <v>650</v>
      </c>
      <c r="BW92" s="3">
        <f t="shared" si="204"/>
        <v>650</v>
      </c>
      <c r="BX92" s="3">
        <f t="shared" si="204"/>
        <v>650</v>
      </c>
      <c r="BY92" s="5">
        <v>37</v>
      </c>
      <c r="BZ92" s="6">
        <f t="shared" si="45"/>
        <v>0.33333333333333331</v>
      </c>
      <c r="CC92" s="94"/>
      <c r="CD92" s="95"/>
      <c r="CE92" s="5">
        <v>37</v>
      </c>
      <c r="CF92" s="6">
        <f t="shared" si="46"/>
        <v>0.33333333333333331</v>
      </c>
      <c r="CG92" s="3">
        <f t="shared" si="205"/>
        <v>600</v>
      </c>
      <c r="CH92" s="3">
        <f t="shared" si="205"/>
        <v>600</v>
      </c>
      <c r="CI92" s="3">
        <f t="shared" si="205"/>
        <v>600</v>
      </c>
      <c r="CJ92" s="3">
        <f t="shared" si="205"/>
        <v>600</v>
      </c>
      <c r="CK92" s="3">
        <f t="shared" si="205"/>
        <v>600</v>
      </c>
      <c r="CL92" s="3">
        <f t="shared" si="205"/>
        <v>600</v>
      </c>
      <c r="CM92" s="3">
        <f t="shared" si="205"/>
        <v>600</v>
      </c>
      <c r="CN92" s="3">
        <f t="shared" si="205"/>
        <v>600</v>
      </c>
      <c r="CO92" s="3">
        <f t="shared" si="205"/>
        <v>600</v>
      </c>
      <c r="CP92" s="3">
        <f t="shared" si="111"/>
        <v>600</v>
      </c>
      <c r="CQ92" s="3">
        <f t="shared" si="147"/>
        <v>600</v>
      </c>
      <c r="CR92" s="3">
        <f t="shared" si="168"/>
        <v>600</v>
      </c>
      <c r="CS92" s="3">
        <f t="shared" si="190"/>
        <v>600</v>
      </c>
      <c r="CT92" s="3">
        <f t="shared" si="217"/>
        <v>600</v>
      </c>
      <c r="CU92" s="3">
        <f t="shared" ref="CU92:CW92" si="245">$L$2/($L$3-$L$4*CT92)</f>
        <v>-1.6746678575415876E-3</v>
      </c>
      <c r="CV92" s="3">
        <f t="shared" si="245"/>
        <v>0.34863354230673421</v>
      </c>
      <c r="CW92" s="3">
        <f t="shared" si="245"/>
        <v>0.39713536344133415</v>
      </c>
      <c r="CX92" s="3">
        <f t="shared" si="219"/>
        <v>650</v>
      </c>
      <c r="CY92" s="3">
        <f t="shared" si="192"/>
        <v>650</v>
      </c>
      <c r="CZ92" s="3">
        <f t="shared" si="169"/>
        <v>650</v>
      </c>
      <c r="DA92" s="3">
        <f t="shared" si="148"/>
        <v>650</v>
      </c>
      <c r="DB92" s="3">
        <f t="shared" si="113"/>
        <v>650</v>
      </c>
      <c r="DC92" s="3">
        <f t="shared" si="207"/>
        <v>650</v>
      </c>
      <c r="DD92" s="3">
        <f t="shared" si="207"/>
        <v>650</v>
      </c>
      <c r="DE92" s="3">
        <f t="shared" si="207"/>
        <v>650</v>
      </c>
      <c r="DF92" s="3">
        <f t="shared" si="207"/>
        <v>650</v>
      </c>
      <c r="DG92" s="3">
        <f t="shared" si="207"/>
        <v>650</v>
      </c>
      <c r="DH92" s="3">
        <f t="shared" si="207"/>
        <v>650</v>
      </c>
      <c r="DI92" s="3">
        <f t="shared" si="207"/>
        <v>650</v>
      </c>
      <c r="DJ92" s="3">
        <f t="shared" si="207"/>
        <v>650</v>
      </c>
      <c r="DK92" s="3">
        <f t="shared" si="207"/>
        <v>650</v>
      </c>
      <c r="DL92" s="5">
        <v>37</v>
      </c>
      <c r="DM92" s="6">
        <f t="shared" si="50"/>
        <v>0.33333333333333331</v>
      </c>
      <c r="DQ92" s="94"/>
      <c r="DR92" s="95"/>
      <c r="DS92" s="5">
        <v>37</v>
      </c>
      <c r="DT92" s="6">
        <f t="shared" si="51"/>
        <v>0.33333333333333331</v>
      </c>
      <c r="DU92" s="3">
        <f t="shared" si="208"/>
        <v>600</v>
      </c>
      <c r="DV92" s="3">
        <f t="shared" si="208"/>
        <v>600</v>
      </c>
      <c r="DW92" s="3">
        <f t="shared" si="208"/>
        <v>600</v>
      </c>
      <c r="DX92" s="3">
        <f t="shared" si="208"/>
        <v>600</v>
      </c>
      <c r="DY92" s="3">
        <f t="shared" si="208"/>
        <v>600</v>
      </c>
      <c r="DZ92" s="3">
        <f t="shared" si="208"/>
        <v>600</v>
      </c>
      <c r="EA92" s="3">
        <f t="shared" si="208"/>
        <v>600</v>
      </c>
      <c r="EB92" s="3">
        <f t="shared" si="208"/>
        <v>600</v>
      </c>
      <c r="EC92" s="3">
        <f t="shared" si="208"/>
        <v>600</v>
      </c>
      <c r="ED92" s="3">
        <f t="shared" si="114"/>
        <v>600</v>
      </c>
      <c r="EE92" s="3">
        <f t="shared" si="149"/>
        <v>600</v>
      </c>
      <c r="EF92" s="3">
        <f t="shared" si="170"/>
        <v>600</v>
      </c>
      <c r="EG92" s="3">
        <f t="shared" si="193"/>
        <v>600</v>
      </c>
      <c r="EH92" s="3">
        <f t="shared" si="220"/>
        <v>600</v>
      </c>
      <c r="EI92" s="3">
        <f t="shared" si="227"/>
        <v>610.98112775229811</v>
      </c>
      <c r="EJ92" s="3">
        <f t="shared" si="221"/>
        <v>397.80823859334339</v>
      </c>
      <c r="EK92" s="3">
        <f t="shared" si="222"/>
        <v>157.9837194137244</v>
      </c>
      <c r="EL92" s="3">
        <f t="shared" si="223"/>
        <v>650</v>
      </c>
      <c r="EM92" s="3">
        <f t="shared" si="198"/>
        <v>650</v>
      </c>
      <c r="EN92" s="3">
        <f t="shared" si="177"/>
        <v>650</v>
      </c>
      <c r="EO92" s="3">
        <f t="shared" si="158"/>
        <v>650</v>
      </c>
      <c r="EP92" s="3">
        <f t="shared" si="125"/>
        <v>650</v>
      </c>
      <c r="EQ92" s="3">
        <f t="shared" si="209"/>
        <v>650</v>
      </c>
      <c r="ER92" s="3">
        <f t="shared" si="209"/>
        <v>650</v>
      </c>
      <c r="ES92" s="3">
        <f t="shared" si="209"/>
        <v>650</v>
      </c>
      <c r="ET92" s="3">
        <f t="shared" si="209"/>
        <v>650</v>
      </c>
      <c r="EU92" s="3">
        <f t="shared" si="209"/>
        <v>650</v>
      </c>
      <c r="EV92" s="3">
        <f t="shared" si="209"/>
        <v>650</v>
      </c>
      <c r="EW92" s="3">
        <f t="shared" si="209"/>
        <v>650</v>
      </c>
      <c r="EX92" s="3">
        <f t="shared" si="209"/>
        <v>650</v>
      </c>
      <c r="EY92" s="3">
        <f t="shared" si="209"/>
        <v>650</v>
      </c>
      <c r="EZ92" s="5">
        <v>37</v>
      </c>
      <c r="FA92" s="6">
        <f t="shared" si="55"/>
        <v>0.33333333333333331</v>
      </c>
    </row>
    <row r="93" spans="3:157" x14ac:dyDescent="0.3">
      <c r="C93" s="94"/>
      <c r="D93" s="95"/>
      <c r="E93" s="5">
        <v>36</v>
      </c>
      <c r="F93" s="6">
        <f t="shared" si="36"/>
        <v>0.32407407407407407</v>
      </c>
      <c r="G93" s="3">
        <f t="shared" si="199"/>
        <v>600</v>
      </c>
      <c r="H93" s="3">
        <f t="shared" si="199"/>
        <v>600</v>
      </c>
      <c r="I93" s="3">
        <f t="shared" si="199"/>
        <v>600</v>
      </c>
      <c r="J93" s="3">
        <f t="shared" si="199"/>
        <v>600</v>
      </c>
      <c r="K93" s="3">
        <f t="shared" si="199"/>
        <v>600</v>
      </c>
      <c r="L93" s="3">
        <f t="shared" si="199"/>
        <v>600</v>
      </c>
      <c r="M93" s="3">
        <f t="shared" si="199"/>
        <v>600</v>
      </c>
      <c r="N93" s="3">
        <f t="shared" si="199"/>
        <v>600</v>
      </c>
      <c r="O93" s="3">
        <f t="shared" si="199"/>
        <v>600</v>
      </c>
      <c r="P93" s="3">
        <f t="shared" si="87"/>
        <v>600</v>
      </c>
      <c r="Q93" s="3">
        <f t="shared" si="129"/>
        <v>600</v>
      </c>
      <c r="R93" s="3">
        <f t="shared" si="159"/>
        <v>600</v>
      </c>
      <c r="S93" s="3">
        <f t="shared" si="178"/>
        <v>600</v>
      </c>
      <c r="T93" s="3">
        <f t="shared" si="210"/>
        <v>600</v>
      </c>
      <c r="U93" s="3">
        <f t="shared" ref="U93" si="246">($F$5*$B$5*T30+$F$4*V30)/($F$4+$F$5*$B$5)</f>
        <v>610.75740517443546</v>
      </c>
      <c r="V93" s="3">
        <f t="shared" si="181"/>
        <v>611.36765144744106</v>
      </c>
      <c r="W93" s="3">
        <f t="shared" ref="W93" si="247">($F$6*$B$5*X30+$F$4*V30)/($F$4+$F$6*$B$5)</f>
        <v>612.99014691296918</v>
      </c>
      <c r="X93" s="3">
        <f t="shared" si="213"/>
        <v>650</v>
      </c>
      <c r="Y93" s="3">
        <f t="shared" si="184"/>
        <v>650</v>
      </c>
      <c r="Z93" s="3">
        <f t="shared" si="165"/>
        <v>650</v>
      </c>
      <c r="AA93" s="3">
        <f t="shared" si="137"/>
        <v>650</v>
      </c>
      <c r="AB93" s="3">
        <f t="shared" si="99"/>
        <v>650</v>
      </c>
      <c r="AC93" s="3">
        <f t="shared" si="202"/>
        <v>650</v>
      </c>
      <c r="AD93" s="3">
        <f t="shared" si="202"/>
        <v>650</v>
      </c>
      <c r="AE93" s="3">
        <f t="shared" si="202"/>
        <v>650</v>
      </c>
      <c r="AF93" s="3">
        <f t="shared" si="202"/>
        <v>650</v>
      </c>
      <c r="AG93" s="3">
        <f t="shared" si="202"/>
        <v>650</v>
      </c>
      <c r="AH93" s="3">
        <f t="shared" si="202"/>
        <v>650</v>
      </c>
      <c r="AI93" s="3">
        <f t="shared" si="202"/>
        <v>650</v>
      </c>
      <c r="AJ93" s="3">
        <f t="shared" si="202"/>
        <v>650</v>
      </c>
      <c r="AK93" s="3">
        <f t="shared" si="202"/>
        <v>650</v>
      </c>
      <c r="AL93" s="5">
        <v>36</v>
      </c>
      <c r="AM93" s="6">
        <f t="shared" si="40"/>
        <v>0.32407407407407407</v>
      </c>
      <c r="AP93" s="102"/>
      <c r="AQ93" s="101"/>
      <c r="AR93" s="5">
        <v>36</v>
      </c>
      <c r="AS93" s="6">
        <f t="shared" si="41"/>
        <v>0.32407407407407407</v>
      </c>
      <c r="AT93" s="3">
        <f t="shared" si="203"/>
        <v>600</v>
      </c>
      <c r="AU93" s="3">
        <f t="shared" si="203"/>
        <v>600</v>
      </c>
      <c r="AV93" s="3">
        <f t="shared" si="203"/>
        <v>600</v>
      </c>
      <c r="AW93" s="3">
        <f t="shared" si="203"/>
        <v>600</v>
      </c>
      <c r="AX93" s="3">
        <f t="shared" si="203"/>
        <v>600</v>
      </c>
      <c r="AY93" s="3">
        <f t="shared" si="203"/>
        <v>600</v>
      </c>
      <c r="AZ93" s="3">
        <f t="shared" si="203"/>
        <v>600</v>
      </c>
      <c r="BA93" s="3">
        <f t="shared" si="203"/>
        <v>600</v>
      </c>
      <c r="BB93" s="3">
        <f t="shared" si="203"/>
        <v>600</v>
      </c>
      <c r="BC93" s="3">
        <f t="shared" si="100"/>
        <v>600</v>
      </c>
      <c r="BD93" s="3">
        <f t="shared" si="138"/>
        <v>600</v>
      </c>
      <c r="BE93" s="3">
        <f t="shared" si="166"/>
        <v>600</v>
      </c>
      <c r="BF93" s="3">
        <f t="shared" si="185"/>
        <v>600</v>
      </c>
      <c r="BG93" s="66">
        <f t="shared" si="214"/>
        <v>600</v>
      </c>
      <c r="BH93" s="69"/>
      <c r="BI93" s="70">
        <f t="shared" si="215"/>
        <v>-2193635110.0421567</v>
      </c>
      <c r="BJ93" s="69"/>
      <c r="BK93" s="23">
        <f t="shared" si="216"/>
        <v>650</v>
      </c>
      <c r="BL93" s="3">
        <f t="shared" si="189"/>
        <v>650</v>
      </c>
      <c r="BM93" s="3">
        <f t="shared" si="167"/>
        <v>650</v>
      </c>
      <c r="BN93" s="3">
        <f t="shared" si="146"/>
        <v>650</v>
      </c>
      <c r="BO93" s="3">
        <f t="shared" si="110"/>
        <v>650</v>
      </c>
      <c r="BP93" s="3">
        <f t="shared" si="204"/>
        <v>650</v>
      </c>
      <c r="BQ93" s="3">
        <f t="shared" si="204"/>
        <v>650</v>
      </c>
      <c r="BR93" s="3">
        <f t="shared" si="204"/>
        <v>650</v>
      </c>
      <c r="BS93" s="3">
        <f t="shared" si="204"/>
        <v>650</v>
      </c>
      <c r="BT93" s="3">
        <f t="shared" si="204"/>
        <v>650</v>
      </c>
      <c r="BU93" s="3">
        <f t="shared" si="204"/>
        <v>650</v>
      </c>
      <c r="BV93" s="3">
        <f t="shared" si="204"/>
        <v>650</v>
      </c>
      <c r="BW93" s="3">
        <f t="shared" si="204"/>
        <v>650</v>
      </c>
      <c r="BX93" s="3">
        <f t="shared" si="204"/>
        <v>650</v>
      </c>
      <c r="BY93" s="5">
        <v>36</v>
      </c>
      <c r="BZ93" s="6">
        <f t="shared" si="45"/>
        <v>0.32407407407407407</v>
      </c>
      <c r="CC93" s="94"/>
      <c r="CD93" s="95"/>
      <c r="CE93" s="5">
        <v>36</v>
      </c>
      <c r="CF93" s="6">
        <f t="shared" si="46"/>
        <v>0.32407407407407407</v>
      </c>
      <c r="CG93" s="3">
        <f t="shared" si="205"/>
        <v>600</v>
      </c>
      <c r="CH93" s="3">
        <f t="shared" si="205"/>
        <v>600</v>
      </c>
      <c r="CI93" s="3">
        <f t="shared" si="205"/>
        <v>600</v>
      </c>
      <c r="CJ93" s="3">
        <f t="shared" si="205"/>
        <v>600</v>
      </c>
      <c r="CK93" s="3">
        <f t="shared" si="205"/>
        <v>600</v>
      </c>
      <c r="CL93" s="3">
        <f t="shared" si="205"/>
        <v>600</v>
      </c>
      <c r="CM93" s="3">
        <f t="shared" si="205"/>
        <v>600</v>
      </c>
      <c r="CN93" s="3">
        <f t="shared" si="205"/>
        <v>600</v>
      </c>
      <c r="CO93" s="3">
        <f t="shared" si="205"/>
        <v>600</v>
      </c>
      <c r="CP93" s="3">
        <f t="shared" si="111"/>
        <v>600</v>
      </c>
      <c r="CQ93" s="3">
        <f t="shared" si="147"/>
        <v>600</v>
      </c>
      <c r="CR93" s="3">
        <f t="shared" si="168"/>
        <v>600</v>
      </c>
      <c r="CS93" s="3">
        <f t="shared" si="190"/>
        <v>600</v>
      </c>
      <c r="CT93" s="3">
        <f t="shared" si="217"/>
        <v>600</v>
      </c>
      <c r="CU93" s="3">
        <f t="shared" ref="CU93:CW93" si="248">$L$2/($L$3-$L$4*CT93)</f>
        <v>-1.6746678575415876E-3</v>
      </c>
      <c r="CV93" s="3">
        <f t="shared" si="248"/>
        <v>0.34863354230673421</v>
      </c>
      <c r="CW93" s="3">
        <f t="shared" si="248"/>
        <v>0.39713536344133415</v>
      </c>
      <c r="CX93" s="3">
        <f t="shared" si="219"/>
        <v>650</v>
      </c>
      <c r="CY93" s="3">
        <f t="shared" si="192"/>
        <v>650</v>
      </c>
      <c r="CZ93" s="3">
        <f t="shared" si="169"/>
        <v>650</v>
      </c>
      <c r="DA93" s="3">
        <f t="shared" si="148"/>
        <v>650</v>
      </c>
      <c r="DB93" s="3">
        <f t="shared" si="113"/>
        <v>650</v>
      </c>
      <c r="DC93" s="3">
        <f t="shared" si="207"/>
        <v>650</v>
      </c>
      <c r="DD93" s="3">
        <f t="shared" si="207"/>
        <v>650</v>
      </c>
      <c r="DE93" s="3">
        <f t="shared" si="207"/>
        <v>650</v>
      </c>
      <c r="DF93" s="3">
        <f t="shared" si="207"/>
        <v>650</v>
      </c>
      <c r="DG93" s="3">
        <f t="shared" si="207"/>
        <v>650</v>
      </c>
      <c r="DH93" s="3">
        <f t="shared" si="207"/>
        <v>650</v>
      </c>
      <c r="DI93" s="3">
        <f t="shared" si="207"/>
        <v>650</v>
      </c>
      <c r="DJ93" s="3">
        <f t="shared" si="207"/>
        <v>650</v>
      </c>
      <c r="DK93" s="3">
        <f t="shared" si="207"/>
        <v>650</v>
      </c>
      <c r="DL93" s="5">
        <v>36</v>
      </c>
      <c r="DM93" s="6">
        <f t="shared" si="50"/>
        <v>0.32407407407407407</v>
      </c>
      <c r="DQ93" s="94"/>
      <c r="DR93" s="95"/>
      <c r="DS93" s="5">
        <v>36</v>
      </c>
      <c r="DT93" s="6">
        <f t="shared" si="51"/>
        <v>0.32407407407407407</v>
      </c>
      <c r="DU93" s="3">
        <f t="shared" si="208"/>
        <v>600</v>
      </c>
      <c r="DV93" s="3">
        <f t="shared" si="208"/>
        <v>600</v>
      </c>
      <c r="DW93" s="3">
        <f t="shared" si="208"/>
        <v>600</v>
      </c>
      <c r="DX93" s="3">
        <f t="shared" si="208"/>
        <v>600</v>
      </c>
      <c r="DY93" s="3">
        <f t="shared" si="208"/>
        <v>600</v>
      </c>
      <c r="DZ93" s="3">
        <f t="shared" si="208"/>
        <v>600</v>
      </c>
      <c r="EA93" s="3">
        <f t="shared" si="208"/>
        <v>600</v>
      </c>
      <c r="EB93" s="3">
        <f t="shared" si="208"/>
        <v>600</v>
      </c>
      <c r="EC93" s="3">
        <f t="shared" si="208"/>
        <v>600</v>
      </c>
      <c r="ED93" s="3">
        <f t="shared" si="114"/>
        <v>600</v>
      </c>
      <c r="EE93" s="3">
        <f t="shared" si="149"/>
        <v>600</v>
      </c>
      <c r="EF93" s="3">
        <f t="shared" si="170"/>
        <v>600</v>
      </c>
      <c r="EG93" s="3">
        <f t="shared" si="193"/>
        <v>600</v>
      </c>
      <c r="EH93" s="3">
        <f t="shared" si="220"/>
        <v>600</v>
      </c>
      <c r="EI93" s="3">
        <f t="shared" si="227"/>
        <v>610.75740517443546</v>
      </c>
      <c r="EJ93" s="3">
        <f t="shared" si="221"/>
        <v>397.65872513004723</v>
      </c>
      <c r="EK93" s="3">
        <f t="shared" si="222"/>
        <v>157.9243423301389</v>
      </c>
      <c r="EL93" s="3">
        <f t="shared" si="223"/>
        <v>650</v>
      </c>
      <c r="EM93" s="3">
        <f t="shared" si="198"/>
        <v>650</v>
      </c>
      <c r="EN93" s="3">
        <f t="shared" si="177"/>
        <v>650</v>
      </c>
      <c r="EO93" s="3">
        <f t="shared" si="158"/>
        <v>650</v>
      </c>
      <c r="EP93" s="3">
        <f t="shared" si="125"/>
        <v>650</v>
      </c>
      <c r="EQ93" s="3">
        <f t="shared" si="209"/>
        <v>650</v>
      </c>
      <c r="ER93" s="3">
        <f t="shared" si="209"/>
        <v>650</v>
      </c>
      <c r="ES93" s="3">
        <f t="shared" si="209"/>
        <v>650</v>
      </c>
      <c r="ET93" s="3">
        <f t="shared" si="209"/>
        <v>650</v>
      </c>
      <c r="EU93" s="3">
        <f t="shared" si="209"/>
        <v>650</v>
      </c>
      <c r="EV93" s="3">
        <f t="shared" si="209"/>
        <v>650</v>
      </c>
      <c r="EW93" s="3">
        <f t="shared" si="209"/>
        <v>650</v>
      </c>
      <c r="EX93" s="3">
        <f t="shared" si="209"/>
        <v>650</v>
      </c>
      <c r="EY93" s="3">
        <f t="shared" si="209"/>
        <v>650</v>
      </c>
      <c r="EZ93" s="5">
        <v>36</v>
      </c>
      <c r="FA93" s="6">
        <f t="shared" si="55"/>
        <v>0.32407407407407407</v>
      </c>
    </row>
    <row r="94" spans="3:157" x14ac:dyDescent="0.3">
      <c r="C94" s="94"/>
      <c r="D94" s="95"/>
      <c r="E94" s="5">
        <v>35</v>
      </c>
      <c r="F94" s="6">
        <f t="shared" si="36"/>
        <v>0.31481481481481477</v>
      </c>
      <c r="G94" s="3">
        <f t="shared" ref="G94:O103" si="249">$R$2</f>
        <v>600</v>
      </c>
      <c r="H94" s="3">
        <f t="shared" si="249"/>
        <v>600</v>
      </c>
      <c r="I94" s="3">
        <f t="shared" si="249"/>
        <v>600</v>
      </c>
      <c r="J94" s="3">
        <f t="shared" si="249"/>
        <v>600</v>
      </c>
      <c r="K94" s="3">
        <f t="shared" si="249"/>
        <v>600</v>
      </c>
      <c r="L94" s="3">
        <f t="shared" si="249"/>
        <v>600</v>
      </c>
      <c r="M94" s="3">
        <f t="shared" si="249"/>
        <v>600</v>
      </c>
      <c r="N94" s="3">
        <f t="shared" si="249"/>
        <v>600</v>
      </c>
      <c r="O94" s="3">
        <f t="shared" si="249"/>
        <v>600</v>
      </c>
      <c r="P94" s="3">
        <f t="shared" si="87"/>
        <v>600</v>
      </c>
      <c r="Q94" s="3">
        <f t="shared" si="129"/>
        <v>600</v>
      </c>
      <c r="R94" s="3">
        <f t="shared" si="159"/>
        <v>600</v>
      </c>
      <c r="S94" s="3">
        <f t="shared" si="178"/>
        <v>600</v>
      </c>
      <c r="T94" s="3">
        <f t="shared" si="210"/>
        <v>600</v>
      </c>
      <c r="U94" s="3">
        <f t="shared" ref="U94" si="250">($F$5*$B$5*T31+$F$4*V31)/($F$4+$F$5*$B$5)</f>
        <v>610.61823546079779</v>
      </c>
      <c r="V94" s="3">
        <f t="shared" si="181"/>
        <v>611.22545142806769</v>
      </c>
      <c r="W94" s="3">
        <f t="shared" ref="W94" si="251">($F$6*$B$5*X31+$F$4*V31)/($F$4+$F$6*$B$5)</f>
        <v>612.8490442866422</v>
      </c>
      <c r="X94" s="3">
        <f t="shared" si="213"/>
        <v>650</v>
      </c>
      <c r="Y94" s="3">
        <f t="shared" si="184"/>
        <v>650</v>
      </c>
      <c r="Z94" s="3">
        <f t="shared" si="165"/>
        <v>650</v>
      </c>
      <c r="AA94" s="3">
        <f t="shared" si="137"/>
        <v>650</v>
      </c>
      <c r="AB94" s="3">
        <f t="shared" si="99"/>
        <v>650</v>
      </c>
      <c r="AC94" s="3">
        <f t="shared" ref="AC94:AK103" si="252">$R$3</f>
        <v>650</v>
      </c>
      <c r="AD94" s="3">
        <f t="shared" si="252"/>
        <v>650</v>
      </c>
      <c r="AE94" s="3">
        <f t="shared" si="252"/>
        <v>650</v>
      </c>
      <c r="AF94" s="3">
        <f t="shared" si="252"/>
        <v>650</v>
      </c>
      <c r="AG94" s="3">
        <f t="shared" si="252"/>
        <v>650</v>
      </c>
      <c r="AH94" s="3">
        <f t="shared" si="252"/>
        <v>650</v>
      </c>
      <c r="AI94" s="3">
        <f t="shared" si="252"/>
        <v>650</v>
      </c>
      <c r="AJ94" s="3">
        <f t="shared" si="252"/>
        <v>650</v>
      </c>
      <c r="AK94" s="3">
        <f t="shared" si="252"/>
        <v>650</v>
      </c>
      <c r="AL94" s="5">
        <v>35</v>
      </c>
      <c r="AM94" s="6">
        <f t="shared" si="40"/>
        <v>0.31481481481481477</v>
      </c>
      <c r="AP94" s="102"/>
      <c r="AQ94" s="101"/>
      <c r="AR94" s="5">
        <v>35</v>
      </c>
      <c r="AS94" s="6">
        <f t="shared" si="41"/>
        <v>0.31481481481481477</v>
      </c>
      <c r="AT94" s="3">
        <f t="shared" ref="AT94:BB103" si="253">$R$2</f>
        <v>600</v>
      </c>
      <c r="AU94" s="3">
        <f t="shared" si="253"/>
        <v>600</v>
      </c>
      <c r="AV94" s="3">
        <f t="shared" si="253"/>
        <v>600</v>
      </c>
      <c r="AW94" s="3">
        <f t="shared" si="253"/>
        <v>600</v>
      </c>
      <c r="AX94" s="3">
        <f t="shared" si="253"/>
        <v>600</v>
      </c>
      <c r="AY94" s="3">
        <f t="shared" si="253"/>
        <v>600</v>
      </c>
      <c r="AZ94" s="3">
        <f t="shared" si="253"/>
        <v>600</v>
      </c>
      <c r="BA94" s="3">
        <f t="shared" si="253"/>
        <v>600</v>
      </c>
      <c r="BB94" s="3">
        <f t="shared" si="253"/>
        <v>600</v>
      </c>
      <c r="BC94" s="3">
        <f t="shared" si="100"/>
        <v>600</v>
      </c>
      <c r="BD94" s="3">
        <f t="shared" si="138"/>
        <v>600</v>
      </c>
      <c r="BE94" s="3">
        <f t="shared" si="166"/>
        <v>600</v>
      </c>
      <c r="BF94" s="3">
        <f t="shared" si="185"/>
        <v>600</v>
      </c>
      <c r="BG94" s="66">
        <f t="shared" si="214"/>
        <v>600</v>
      </c>
      <c r="BH94" s="69"/>
      <c r="BI94" s="70">
        <f t="shared" si="215"/>
        <v>-2193106821.8091884</v>
      </c>
      <c r="BJ94" s="69"/>
      <c r="BK94" s="23">
        <f t="shared" si="216"/>
        <v>650</v>
      </c>
      <c r="BL94" s="3">
        <f t="shared" si="189"/>
        <v>650</v>
      </c>
      <c r="BM94" s="3">
        <f t="shared" si="167"/>
        <v>650</v>
      </c>
      <c r="BN94" s="3">
        <f t="shared" si="146"/>
        <v>650</v>
      </c>
      <c r="BO94" s="3">
        <f t="shared" si="110"/>
        <v>650</v>
      </c>
      <c r="BP94" s="3">
        <f t="shared" ref="BP94:BX103" si="254">$R$3</f>
        <v>650</v>
      </c>
      <c r="BQ94" s="3">
        <f t="shared" si="254"/>
        <v>650</v>
      </c>
      <c r="BR94" s="3">
        <f t="shared" si="254"/>
        <v>650</v>
      </c>
      <c r="BS94" s="3">
        <f t="shared" si="254"/>
        <v>650</v>
      </c>
      <c r="BT94" s="3">
        <f t="shared" si="254"/>
        <v>650</v>
      </c>
      <c r="BU94" s="3">
        <f t="shared" si="254"/>
        <v>650</v>
      </c>
      <c r="BV94" s="3">
        <f t="shared" si="254"/>
        <v>650</v>
      </c>
      <c r="BW94" s="3">
        <f t="shared" si="254"/>
        <v>650</v>
      </c>
      <c r="BX94" s="3">
        <f t="shared" si="254"/>
        <v>650</v>
      </c>
      <c r="BY94" s="5">
        <v>35</v>
      </c>
      <c r="BZ94" s="6">
        <f t="shared" si="45"/>
        <v>0.31481481481481477</v>
      </c>
      <c r="CC94" s="94"/>
      <c r="CD94" s="95"/>
      <c r="CE94" s="5">
        <v>35</v>
      </c>
      <c r="CF94" s="6">
        <f t="shared" si="46"/>
        <v>0.31481481481481477</v>
      </c>
      <c r="CG94" s="3">
        <f t="shared" ref="CG94:CO103" si="255">$R$2</f>
        <v>600</v>
      </c>
      <c r="CH94" s="3">
        <f t="shared" si="255"/>
        <v>600</v>
      </c>
      <c r="CI94" s="3">
        <f t="shared" si="255"/>
        <v>600</v>
      </c>
      <c r="CJ94" s="3">
        <f t="shared" si="255"/>
        <v>600</v>
      </c>
      <c r="CK94" s="3">
        <f t="shared" si="255"/>
        <v>600</v>
      </c>
      <c r="CL94" s="3">
        <f t="shared" si="255"/>
        <v>600</v>
      </c>
      <c r="CM94" s="3">
        <f t="shared" si="255"/>
        <v>600</v>
      </c>
      <c r="CN94" s="3">
        <f t="shared" si="255"/>
        <v>600</v>
      </c>
      <c r="CO94" s="3">
        <f t="shared" si="255"/>
        <v>600</v>
      </c>
      <c r="CP94" s="3">
        <f t="shared" si="111"/>
        <v>600</v>
      </c>
      <c r="CQ94" s="3">
        <f t="shared" si="147"/>
        <v>600</v>
      </c>
      <c r="CR94" s="3">
        <f t="shared" si="168"/>
        <v>600</v>
      </c>
      <c r="CS94" s="3">
        <f t="shared" si="190"/>
        <v>600</v>
      </c>
      <c r="CT94" s="3">
        <f t="shared" si="217"/>
        <v>600</v>
      </c>
      <c r="CU94" s="3">
        <f t="shared" ref="CU94:CW94" si="256">$L$2/($L$3-$L$4*CT94)</f>
        <v>-1.6746678575415876E-3</v>
      </c>
      <c r="CV94" s="3">
        <f t="shared" si="256"/>
        <v>0.34863354230673421</v>
      </c>
      <c r="CW94" s="3">
        <f t="shared" si="256"/>
        <v>0.39713536344133415</v>
      </c>
      <c r="CX94" s="3">
        <f t="shared" si="219"/>
        <v>650</v>
      </c>
      <c r="CY94" s="3">
        <f t="shared" si="192"/>
        <v>650</v>
      </c>
      <c r="CZ94" s="3">
        <f t="shared" si="169"/>
        <v>650</v>
      </c>
      <c r="DA94" s="3">
        <f t="shared" si="148"/>
        <v>650</v>
      </c>
      <c r="DB94" s="3">
        <f t="shared" si="113"/>
        <v>650</v>
      </c>
      <c r="DC94" s="3">
        <f t="shared" ref="DC94:DK103" si="257">$R$3</f>
        <v>650</v>
      </c>
      <c r="DD94" s="3">
        <f t="shared" si="257"/>
        <v>650</v>
      </c>
      <c r="DE94" s="3">
        <f t="shared" si="257"/>
        <v>650</v>
      </c>
      <c r="DF94" s="3">
        <f t="shared" si="257"/>
        <v>650</v>
      </c>
      <c r="DG94" s="3">
        <f t="shared" si="257"/>
        <v>650</v>
      </c>
      <c r="DH94" s="3">
        <f t="shared" si="257"/>
        <v>650</v>
      </c>
      <c r="DI94" s="3">
        <f t="shared" si="257"/>
        <v>650</v>
      </c>
      <c r="DJ94" s="3">
        <f t="shared" si="257"/>
        <v>650</v>
      </c>
      <c r="DK94" s="3">
        <f t="shared" si="257"/>
        <v>650</v>
      </c>
      <c r="DL94" s="5">
        <v>35</v>
      </c>
      <c r="DM94" s="6">
        <f t="shared" si="50"/>
        <v>0.31481481481481477</v>
      </c>
      <c r="DQ94" s="94"/>
      <c r="DR94" s="95"/>
      <c r="DS94" s="5">
        <v>35</v>
      </c>
      <c r="DT94" s="6">
        <f t="shared" si="51"/>
        <v>0.31481481481481477</v>
      </c>
      <c r="DU94" s="3">
        <f t="shared" ref="DU94:EC103" si="258">$R$2</f>
        <v>600</v>
      </c>
      <c r="DV94" s="3">
        <f t="shared" si="258"/>
        <v>600</v>
      </c>
      <c r="DW94" s="3">
        <f t="shared" si="258"/>
        <v>600</v>
      </c>
      <c r="DX94" s="3">
        <f t="shared" si="258"/>
        <v>600</v>
      </c>
      <c r="DY94" s="3">
        <f t="shared" si="258"/>
        <v>600</v>
      </c>
      <c r="DZ94" s="3">
        <f t="shared" si="258"/>
        <v>600</v>
      </c>
      <c r="EA94" s="3">
        <f t="shared" si="258"/>
        <v>600</v>
      </c>
      <c r="EB94" s="3">
        <f t="shared" si="258"/>
        <v>600</v>
      </c>
      <c r="EC94" s="3">
        <f t="shared" si="258"/>
        <v>600</v>
      </c>
      <c r="ED94" s="3">
        <f t="shared" si="114"/>
        <v>600</v>
      </c>
      <c r="EE94" s="3">
        <f t="shared" si="149"/>
        <v>600</v>
      </c>
      <c r="EF94" s="3">
        <f t="shared" si="170"/>
        <v>600</v>
      </c>
      <c r="EG94" s="3">
        <f t="shared" si="193"/>
        <v>600</v>
      </c>
      <c r="EH94" s="3">
        <f t="shared" si="220"/>
        <v>600</v>
      </c>
      <c r="EI94" s="3">
        <f t="shared" si="227"/>
        <v>610.61823546079779</v>
      </c>
      <c r="EJ94" s="3">
        <f t="shared" si="221"/>
        <v>397.56571821911899</v>
      </c>
      <c r="EK94" s="3">
        <f t="shared" si="222"/>
        <v>157.88740599676487</v>
      </c>
      <c r="EL94" s="3">
        <f t="shared" si="223"/>
        <v>650</v>
      </c>
      <c r="EM94" s="3">
        <f t="shared" si="198"/>
        <v>650</v>
      </c>
      <c r="EN94" s="3">
        <f t="shared" si="177"/>
        <v>650</v>
      </c>
      <c r="EO94" s="3">
        <f t="shared" si="158"/>
        <v>650</v>
      </c>
      <c r="EP94" s="3">
        <f t="shared" si="125"/>
        <v>650</v>
      </c>
      <c r="EQ94" s="3">
        <f t="shared" ref="EQ94:EY103" si="259">$R$3</f>
        <v>650</v>
      </c>
      <c r="ER94" s="3">
        <f t="shared" si="259"/>
        <v>650</v>
      </c>
      <c r="ES94" s="3">
        <f t="shared" si="259"/>
        <v>650</v>
      </c>
      <c r="ET94" s="3">
        <f t="shared" si="259"/>
        <v>650</v>
      </c>
      <c r="EU94" s="3">
        <f t="shared" si="259"/>
        <v>650</v>
      </c>
      <c r="EV94" s="3">
        <f t="shared" si="259"/>
        <v>650</v>
      </c>
      <c r="EW94" s="3">
        <f t="shared" si="259"/>
        <v>650</v>
      </c>
      <c r="EX94" s="3">
        <f t="shared" si="259"/>
        <v>650</v>
      </c>
      <c r="EY94" s="3">
        <f t="shared" si="259"/>
        <v>650</v>
      </c>
      <c r="EZ94" s="5">
        <v>35</v>
      </c>
      <c r="FA94" s="6">
        <f t="shared" si="55"/>
        <v>0.31481481481481477</v>
      </c>
    </row>
    <row r="95" spans="3:157" x14ac:dyDescent="0.3">
      <c r="C95" s="94"/>
      <c r="D95" s="95"/>
      <c r="E95" s="5">
        <v>34</v>
      </c>
      <c r="F95" s="6">
        <f t="shared" si="36"/>
        <v>0.30555555555555552</v>
      </c>
      <c r="G95" s="3">
        <f t="shared" si="249"/>
        <v>600</v>
      </c>
      <c r="H95" s="3">
        <f t="shared" si="249"/>
        <v>600</v>
      </c>
      <c r="I95" s="3">
        <f t="shared" si="249"/>
        <v>600</v>
      </c>
      <c r="J95" s="3">
        <f t="shared" si="249"/>
        <v>600</v>
      </c>
      <c r="K95" s="3">
        <f t="shared" si="249"/>
        <v>600</v>
      </c>
      <c r="L95" s="3">
        <f t="shared" si="249"/>
        <v>600</v>
      </c>
      <c r="M95" s="3">
        <f t="shared" si="249"/>
        <v>600</v>
      </c>
      <c r="N95" s="3">
        <f t="shared" si="249"/>
        <v>600</v>
      </c>
      <c r="O95" s="3">
        <f t="shared" si="249"/>
        <v>600</v>
      </c>
      <c r="P95" s="3">
        <f t="shared" si="87"/>
        <v>600</v>
      </c>
      <c r="Q95" s="3">
        <f t="shared" si="129"/>
        <v>600</v>
      </c>
      <c r="R95" s="3">
        <f t="shared" si="159"/>
        <v>600</v>
      </c>
      <c r="S95" s="3">
        <f t="shared" si="178"/>
        <v>600</v>
      </c>
      <c r="T95" s="3">
        <f t="shared" si="210"/>
        <v>600</v>
      </c>
      <c r="U95" s="3">
        <f t="shared" ref="U95" si="260">($F$5*$B$5*T32+$F$4*V32)/($F$4+$F$5*$B$5)</f>
        <v>610.53177484107619</v>
      </c>
      <c r="V95" s="3">
        <f t="shared" si="181"/>
        <v>611.13710819965922</v>
      </c>
      <c r="W95" s="3">
        <f t="shared" ref="W95" si="261">($F$6*$B$5*X32+$F$4*V32)/($F$4+$F$6*$B$5)</f>
        <v>612.76138282497993</v>
      </c>
      <c r="X95" s="3">
        <f t="shared" si="213"/>
        <v>650</v>
      </c>
      <c r="Y95" s="3">
        <f t="shared" si="184"/>
        <v>650</v>
      </c>
      <c r="Z95" s="3">
        <f t="shared" si="165"/>
        <v>650</v>
      </c>
      <c r="AA95" s="3">
        <f t="shared" si="137"/>
        <v>650</v>
      </c>
      <c r="AB95" s="3">
        <f t="shared" si="99"/>
        <v>650</v>
      </c>
      <c r="AC95" s="3">
        <f t="shared" si="252"/>
        <v>650</v>
      </c>
      <c r="AD95" s="3">
        <f t="shared" si="252"/>
        <v>650</v>
      </c>
      <c r="AE95" s="3">
        <f t="shared" si="252"/>
        <v>650</v>
      </c>
      <c r="AF95" s="3">
        <f t="shared" si="252"/>
        <v>650</v>
      </c>
      <c r="AG95" s="3">
        <f t="shared" si="252"/>
        <v>650</v>
      </c>
      <c r="AH95" s="3">
        <f t="shared" si="252"/>
        <v>650</v>
      </c>
      <c r="AI95" s="3">
        <f t="shared" si="252"/>
        <v>650</v>
      </c>
      <c r="AJ95" s="3">
        <f t="shared" si="252"/>
        <v>650</v>
      </c>
      <c r="AK95" s="3">
        <f t="shared" si="252"/>
        <v>650</v>
      </c>
      <c r="AL95" s="5">
        <v>34</v>
      </c>
      <c r="AM95" s="6">
        <f t="shared" si="40"/>
        <v>0.30555555555555552</v>
      </c>
      <c r="AP95" s="102"/>
      <c r="AQ95" s="101"/>
      <c r="AR95" s="5">
        <v>34</v>
      </c>
      <c r="AS95" s="6">
        <f t="shared" si="41"/>
        <v>0.30555555555555552</v>
      </c>
      <c r="AT95" s="3">
        <f t="shared" si="253"/>
        <v>600</v>
      </c>
      <c r="AU95" s="3">
        <f t="shared" si="253"/>
        <v>600</v>
      </c>
      <c r="AV95" s="3">
        <f t="shared" si="253"/>
        <v>600</v>
      </c>
      <c r="AW95" s="3">
        <f t="shared" si="253"/>
        <v>600</v>
      </c>
      <c r="AX95" s="3">
        <f t="shared" si="253"/>
        <v>600</v>
      </c>
      <c r="AY95" s="3">
        <f t="shared" si="253"/>
        <v>600</v>
      </c>
      <c r="AZ95" s="3">
        <f t="shared" si="253"/>
        <v>600</v>
      </c>
      <c r="BA95" s="3">
        <f t="shared" si="253"/>
        <v>600</v>
      </c>
      <c r="BB95" s="3">
        <f t="shared" si="253"/>
        <v>600</v>
      </c>
      <c r="BC95" s="3">
        <f t="shared" si="100"/>
        <v>600</v>
      </c>
      <c r="BD95" s="3">
        <f t="shared" si="138"/>
        <v>600</v>
      </c>
      <c r="BE95" s="3">
        <f t="shared" si="166"/>
        <v>600</v>
      </c>
      <c r="BF95" s="3">
        <f t="shared" si="185"/>
        <v>600</v>
      </c>
      <c r="BG95" s="66">
        <f t="shared" si="214"/>
        <v>600</v>
      </c>
      <c r="BH95" s="69"/>
      <c r="BI95" s="70">
        <f t="shared" si="215"/>
        <v>-2192778617.2967253</v>
      </c>
      <c r="BJ95" s="69"/>
      <c r="BK95" s="23">
        <f t="shared" si="216"/>
        <v>650</v>
      </c>
      <c r="BL95" s="3">
        <f t="shared" si="189"/>
        <v>650</v>
      </c>
      <c r="BM95" s="3">
        <f t="shared" si="167"/>
        <v>650</v>
      </c>
      <c r="BN95" s="3">
        <f t="shared" si="146"/>
        <v>650</v>
      </c>
      <c r="BO95" s="3">
        <f t="shared" si="110"/>
        <v>650</v>
      </c>
      <c r="BP95" s="3">
        <f t="shared" si="254"/>
        <v>650</v>
      </c>
      <c r="BQ95" s="3">
        <f t="shared" si="254"/>
        <v>650</v>
      </c>
      <c r="BR95" s="3">
        <f t="shared" si="254"/>
        <v>650</v>
      </c>
      <c r="BS95" s="3">
        <f t="shared" si="254"/>
        <v>650</v>
      </c>
      <c r="BT95" s="3">
        <f t="shared" si="254"/>
        <v>650</v>
      </c>
      <c r="BU95" s="3">
        <f t="shared" si="254"/>
        <v>650</v>
      </c>
      <c r="BV95" s="3">
        <f t="shared" si="254"/>
        <v>650</v>
      </c>
      <c r="BW95" s="3">
        <f t="shared" si="254"/>
        <v>650</v>
      </c>
      <c r="BX95" s="3">
        <f t="shared" si="254"/>
        <v>650</v>
      </c>
      <c r="BY95" s="5">
        <v>34</v>
      </c>
      <c r="BZ95" s="6">
        <f t="shared" si="45"/>
        <v>0.30555555555555552</v>
      </c>
      <c r="CC95" s="94"/>
      <c r="CD95" s="95"/>
      <c r="CE95" s="5">
        <v>34</v>
      </c>
      <c r="CF95" s="6">
        <f t="shared" si="46"/>
        <v>0.30555555555555552</v>
      </c>
      <c r="CG95" s="3">
        <f t="shared" si="255"/>
        <v>600</v>
      </c>
      <c r="CH95" s="3">
        <f t="shared" si="255"/>
        <v>600</v>
      </c>
      <c r="CI95" s="3">
        <f t="shared" si="255"/>
        <v>600</v>
      </c>
      <c r="CJ95" s="3">
        <f t="shared" si="255"/>
        <v>600</v>
      </c>
      <c r="CK95" s="3">
        <f t="shared" si="255"/>
        <v>600</v>
      </c>
      <c r="CL95" s="3">
        <f t="shared" si="255"/>
        <v>600</v>
      </c>
      <c r="CM95" s="3">
        <f t="shared" si="255"/>
        <v>600</v>
      </c>
      <c r="CN95" s="3">
        <f t="shared" si="255"/>
        <v>600</v>
      </c>
      <c r="CO95" s="3">
        <f t="shared" si="255"/>
        <v>600</v>
      </c>
      <c r="CP95" s="3">
        <f t="shared" si="111"/>
        <v>600</v>
      </c>
      <c r="CQ95" s="3">
        <f t="shared" si="147"/>
        <v>600</v>
      </c>
      <c r="CR95" s="3">
        <f t="shared" si="168"/>
        <v>600</v>
      </c>
      <c r="CS95" s="3">
        <f t="shared" si="190"/>
        <v>600</v>
      </c>
      <c r="CT95" s="3">
        <f t="shared" si="217"/>
        <v>600</v>
      </c>
      <c r="CU95" s="3">
        <f t="shared" ref="CU95:CW95" si="262">$L$2/($L$3-$L$4*CT95)</f>
        <v>-1.6746678575415876E-3</v>
      </c>
      <c r="CV95" s="3">
        <f t="shared" si="262"/>
        <v>0.34863354230673421</v>
      </c>
      <c r="CW95" s="3">
        <f t="shared" si="262"/>
        <v>0.39713536344133415</v>
      </c>
      <c r="CX95" s="3">
        <f t="shared" si="219"/>
        <v>650</v>
      </c>
      <c r="CY95" s="3">
        <f t="shared" si="192"/>
        <v>650</v>
      </c>
      <c r="CZ95" s="3">
        <f t="shared" si="169"/>
        <v>650</v>
      </c>
      <c r="DA95" s="3">
        <f t="shared" si="148"/>
        <v>650</v>
      </c>
      <c r="DB95" s="3">
        <f t="shared" si="113"/>
        <v>650</v>
      </c>
      <c r="DC95" s="3">
        <f t="shared" si="257"/>
        <v>650</v>
      </c>
      <c r="DD95" s="3">
        <f t="shared" si="257"/>
        <v>650</v>
      </c>
      <c r="DE95" s="3">
        <f t="shared" si="257"/>
        <v>650</v>
      </c>
      <c r="DF95" s="3">
        <f t="shared" si="257"/>
        <v>650</v>
      </c>
      <c r="DG95" s="3">
        <f t="shared" si="257"/>
        <v>650</v>
      </c>
      <c r="DH95" s="3">
        <f t="shared" si="257"/>
        <v>650</v>
      </c>
      <c r="DI95" s="3">
        <f t="shared" si="257"/>
        <v>650</v>
      </c>
      <c r="DJ95" s="3">
        <f t="shared" si="257"/>
        <v>650</v>
      </c>
      <c r="DK95" s="3">
        <f t="shared" si="257"/>
        <v>650</v>
      </c>
      <c r="DL95" s="5">
        <v>34</v>
      </c>
      <c r="DM95" s="6">
        <f t="shared" si="50"/>
        <v>0.30555555555555552</v>
      </c>
      <c r="DQ95" s="94"/>
      <c r="DR95" s="95"/>
      <c r="DS95" s="5">
        <v>34</v>
      </c>
      <c r="DT95" s="6">
        <f t="shared" si="51"/>
        <v>0.30555555555555552</v>
      </c>
      <c r="DU95" s="3">
        <f t="shared" si="258"/>
        <v>600</v>
      </c>
      <c r="DV95" s="3">
        <f t="shared" si="258"/>
        <v>600</v>
      </c>
      <c r="DW95" s="3">
        <f t="shared" si="258"/>
        <v>600</v>
      </c>
      <c r="DX95" s="3">
        <f t="shared" si="258"/>
        <v>600</v>
      </c>
      <c r="DY95" s="3">
        <f t="shared" si="258"/>
        <v>600</v>
      </c>
      <c r="DZ95" s="3">
        <f t="shared" si="258"/>
        <v>600</v>
      </c>
      <c r="EA95" s="3">
        <f t="shared" si="258"/>
        <v>600</v>
      </c>
      <c r="EB95" s="3">
        <f t="shared" si="258"/>
        <v>600</v>
      </c>
      <c r="EC95" s="3">
        <f t="shared" si="258"/>
        <v>600</v>
      </c>
      <c r="ED95" s="3">
        <f t="shared" si="114"/>
        <v>600</v>
      </c>
      <c r="EE95" s="3">
        <f t="shared" si="149"/>
        <v>600</v>
      </c>
      <c r="EF95" s="3">
        <f t="shared" si="170"/>
        <v>600</v>
      </c>
      <c r="EG95" s="3">
        <f t="shared" si="193"/>
        <v>600</v>
      </c>
      <c r="EH95" s="3">
        <f t="shared" si="220"/>
        <v>600</v>
      </c>
      <c r="EI95" s="3">
        <f t="shared" si="227"/>
        <v>610.53177484107619</v>
      </c>
      <c r="EJ95" s="3">
        <f t="shared" si="221"/>
        <v>397.50793671661364</v>
      </c>
      <c r="EK95" s="3">
        <f t="shared" si="222"/>
        <v>157.86445891876721</v>
      </c>
      <c r="EL95" s="3">
        <f t="shared" si="223"/>
        <v>650</v>
      </c>
      <c r="EM95" s="3">
        <f t="shared" si="198"/>
        <v>650</v>
      </c>
      <c r="EN95" s="3">
        <f t="shared" si="177"/>
        <v>650</v>
      </c>
      <c r="EO95" s="3">
        <f t="shared" si="158"/>
        <v>650</v>
      </c>
      <c r="EP95" s="3">
        <f t="shared" si="125"/>
        <v>650</v>
      </c>
      <c r="EQ95" s="3">
        <f t="shared" si="259"/>
        <v>650</v>
      </c>
      <c r="ER95" s="3">
        <f t="shared" si="259"/>
        <v>650</v>
      </c>
      <c r="ES95" s="3">
        <f t="shared" si="259"/>
        <v>650</v>
      </c>
      <c r="ET95" s="3">
        <f t="shared" si="259"/>
        <v>650</v>
      </c>
      <c r="EU95" s="3">
        <f t="shared" si="259"/>
        <v>650</v>
      </c>
      <c r="EV95" s="3">
        <f t="shared" si="259"/>
        <v>650</v>
      </c>
      <c r="EW95" s="3">
        <f t="shared" si="259"/>
        <v>650</v>
      </c>
      <c r="EX95" s="3">
        <f t="shared" si="259"/>
        <v>650</v>
      </c>
      <c r="EY95" s="3">
        <f t="shared" si="259"/>
        <v>650</v>
      </c>
      <c r="EZ95" s="5">
        <v>34</v>
      </c>
      <c r="FA95" s="6">
        <f t="shared" si="55"/>
        <v>0.30555555555555552</v>
      </c>
    </row>
    <row r="96" spans="3:157" x14ac:dyDescent="0.3">
      <c r="C96" s="94"/>
      <c r="D96" s="95"/>
      <c r="E96" s="5">
        <v>33</v>
      </c>
      <c r="F96" s="6">
        <f t="shared" si="36"/>
        <v>0.29629629629629628</v>
      </c>
      <c r="G96" s="3">
        <f t="shared" si="249"/>
        <v>600</v>
      </c>
      <c r="H96" s="3">
        <f t="shared" si="249"/>
        <v>600</v>
      </c>
      <c r="I96" s="3">
        <f t="shared" si="249"/>
        <v>600</v>
      </c>
      <c r="J96" s="3">
        <f t="shared" si="249"/>
        <v>600</v>
      </c>
      <c r="K96" s="3">
        <f t="shared" si="249"/>
        <v>600</v>
      </c>
      <c r="L96" s="3">
        <f t="shared" si="249"/>
        <v>600</v>
      </c>
      <c r="M96" s="3">
        <f t="shared" si="249"/>
        <v>600</v>
      </c>
      <c r="N96" s="3">
        <f t="shared" si="249"/>
        <v>600</v>
      </c>
      <c r="O96" s="3">
        <f t="shared" si="249"/>
        <v>600</v>
      </c>
      <c r="P96" s="3">
        <f t="shared" si="87"/>
        <v>600</v>
      </c>
      <c r="Q96" s="3">
        <f t="shared" si="129"/>
        <v>600</v>
      </c>
      <c r="R96" s="3">
        <f t="shared" si="159"/>
        <v>600</v>
      </c>
      <c r="S96" s="3">
        <f t="shared" si="178"/>
        <v>600</v>
      </c>
      <c r="T96" s="3">
        <f t="shared" si="210"/>
        <v>600</v>
      </c>
      <c r="U96" s="3">
        <f t="shared" ref="U96" si="263">($F$5*$B$5*T33+$F$4*V33)/($F$4+$F$5*$B$5)</f>
        <v>610.47824316346805</v>
      </c>
      <c r="V96" s="3">
        <f t="shared" si="181"/>
        <v>611.08241091392085</v>
      </c>
      <c r="W96" s="3">
        <f t="shared" ref="W96" si="264">($F$6*$B$5*X33+$F$4*V33)/($F$4+$F$6*$B$5)</f>
        <v>612.70710765184947</v>
      </c>
      <c r="X96" s="3">
        <f t="shared" si="213"/>
        <v>650</v>
      </c>
      <c r="Y96" s="3">
        <f t="shared" si="184"/>
        <v>650</v>
      </c>
      <c r="Z96" s="3">
        <f t="shared" si="165"/>
        <v>650</v>
      </c>
      <c r="AA96" s="3">
        <f t="shared" si="137"/>
        <v>650</v>
      </c>
      <c r="AB96" s="3">
        <f t="shared" si="99"/>
        <v>650</v>
      </c>
      <c r="AC96" s="3">
        <f t="shared" si="252"/>
        <v>650</v>
      </c>
      <c r="AD96" s="3">
        <f t="shared" si="252"/>
        <v>650</v>
      </c>
      <c r="AE96" s="3">
        <f t="shared" si="252"/>
        <v>650</v>
      </c>
      <c r="AF96" s="3">
        <f t="shared" si="252"/>
        <v>650</v>
      </c>
      <c r="AG96" s="3">
        <f t="shared" si="252"/>
        <v>650</v>
      </c>
      <c r="AH96" s="3">
        <f t="shared" si="252"/>
        <v>650</v>
      </c>
      <c r="AI96" s="3">
        <f t="shared" si="252"/>
        <v>650</v>
      </c>
      <c r="AJ96" s="3">
        <f t="shared" si="252"/>
        <v>650</v>
      </c>
      <c r="AK96" s="3">
        <f t="shared" si="252"/>
        <v>650</v>
      </c>
      <c r="AL96" s="5">
        <v>33</v>
      </c>
      <c r="AM96" s="6">
        <f t="shared" si="40"/>
        <v>0.29629629629629628</v>
      </c>
      <c r="AP96" s="102"/>
      <c r="AQ96" s="101"/>
      <c r="AR96" s="5">
        <v>33</v>
      </c>
      <c r="AS96" s="6">
        <f t="shared" si="41"/>
        <v>0.29629629629629628</v>
      </c>
      <c r="AT96" s="3">
        <f t="shared" si="253"/>
        <v>600</v>
      </c>
      <c r="AU96" s="3">
        <f t="shared" si="253"/>
        <v>600</v>
      </c>
      <c r="AV96" s="3">
        <f t="shared" si="253"/>
        <v>600</v>
      </c>
      <c r="AW96" s="3">
        <f t="shared" si="253"/>
        <v>600</v>
      </c>
      <c r="AX96" s="3">
        <f t="shared" si="253"/>
        <v>600</v>
      </c>
      <c r="AY96" s="3">
        <f t="shared" si="253"/>
        <v>600</v>
      </c>
      <c r="AZ96" s="3">
        <f t="shared" si="253"/>
        <v>600</v>
      </c>
      <c r="BA96" s="3">
        <f t="shared" si="253"/>
        <v>600</v>
      </c>
      <c r="BB96" s="3">
        <f t="shared" si="253"/>
        <v>600</v>
      </c>
      <c r="BC96" s="3">
        <f t="shared" si="100"/>
        <v>600</v>
      </c>
      <c r="BD96" s="3">
        <f t="shared" si="138"/>
        <v>600</v>
      </c>
      <c r="BE96" s="3">
        <f t="shared" si="166"/>
        <v>600</v>
      </c>
      <c r="BF96" s="3">
        <f t="shared" si="185"/>
        <v>600</v>
      </c>
      <c r="BG96" s="66">
        <f t="shared" si="214"/>
        <v>600</v>
      </c>
      <c r="BH96" s="69"/>
      <c r="BI96" s="70">
        <f t="shared" si="215"/>
        <v>-2192575411.0485249</v>
      </c>
      <c r="BJ96" s="69"/>
      <c r="BK96" s="23">
        <f t="shared" si="216"/>
        <v>650</v>
      </c>
      <c r="BL96" s="3">
        <f t="shared" si="189"/>
        <v>650</v>
      </c>
      <c r="BM96" s="3">
        <f t="shared" si="167"/>
        <v>650</v>
      </c>
      <c r="BN96" s="3">
        <f t="shared" si="146"/>
        <v>650</v>
      </c>
      <c r="BO96" s="3">
        <f t="shared" si="110"/>
        <v>650</v>
      </c>
      <c r="BP96" s="3">
        <f t="shared" si="254"/>
        <v>650</v>
      </c>
      <c r="BQ96" s="3">
        <f t="shared" si="254"/>
        <v>650</v>
      </c>
      <c r="BR96" s="3">
        <f t="shared" si="254"/>
        <v>650</v>
      </c>
      <c r="BS96" s="3">
        <f t="shared" si="254"/>
        <v>650</v>
      </c>
      <c r="BT96" s="3">
        <f t="shared" si="254"/>
        <v>650</v>
      </c>
      <c r="BU96" s="3">
        <f t="shared" si="254"/>
        <v>650</v>
      </c>
      <c r="BV96" s="3">
        <f t="shared" si="254"/>
        <v>650</v>
      </c>
      <c r="BW96" s="3">
        <f t="shared" si="254"/>
        <v>650</v>
      </c>
      <c r="BX96" s="3">
        <f t="shared" si="254"/>
        <v>650</v>
      </c>
      <c r="BY96" s="5">
        <v>33</v>
      </c>
      <c r="BZ96" s="6">
        <f t="shared" si="45"/>
        <v>0.29629629629629628</v>
      </c>
      <c r="CC96" s="94"/>
      <c r="CD96" s="95"/>
      <c r="CE96" s="5">
        <v>33</v>
      </c>
      <c r="CF96" s="6">
        <f t="shared" si="46"/>
        <v>0.29629629629629628</v>
      </c>
      <c r="CG96" s="3">
        <f t="shared" si="255"/>
        <v>600</v>
      </c>
      <c r="CH96" s="3">
        <f t="shared" si="255"/>
        <v>600</v>
      </c>
      <c r="CI96" s="3">
        <f t="shared" si="255"/>
        <v>600</v>
      </c>
      <c r="CJ96" s="3">
        <f t="shared" si="255"/>
        <v>600</v>
      </c>
      <c r="CK96" s="3">
        <f t="shared" si="255"/>
        <v>600</v>
      </c>
      <c r="CL96" s="3">
        <f t="shared" si="255"/>
        <v>600</v>
      </c>
      <c r="CM96" s="3">
        <f t="shared" si="255"/>
        <v>600</v>
      </c>
      <c r="CN96" s="3">
        <f t="shared" si="255"/>
        <v>600</v>
      </c>
      <c r="CO96" s="3">
        <f t="shared" si="255"/>
        <v>600</v>
      </c>
      <c r="CP96" s="3">
        <f t="shared" si="111"/>
        <v>600</v>
      </c>
      <c r="CQ96" s="3">
        <f t="shared" si="147"/>
        <v>600</v>
      </c>
      <c r="CR96" s="3">
        <f t="shared" si="168"/>
        <v>600</v>
      </c>
      <c r="CS96" s="3">
        <f t="shared" si="190"/>
        <v>600</v>
      </c>
      <c r="CT96" s="3">
        <f t="shared" si="217"/>
        <v>600</v>
      </c>
      <c r="CU96" s="3">
        <f t="shared" ref="CU96:CW96" si="265">$L$2/($L$3-$L$4*CT96)</f>
        <v>-1.6746678575415876E-3</v>
      </c>
      <c r="CV96" s="3">
        <f t="shared" si="265"/>
        <v>0.34863354230673421</v>
      </c>
      <c r="CW96" s="3">
        <f t="shared" si="265"/>
        <v>0.39713536344133415</v>
      </c>
      <c r="CX96" s="3">
        <f t="shared" si="219"/>
        <v>650</v>
      </c>
      <c r="CY96" s="3">
        <f t="shared" si="192"/>
        <v>650</v>
      </c>
      <c r="CZ96" s="3">
        <f t="shared" si="169"/>
        <v>650</v>
      </c>
      <c r="DA96" s="3">
        <f t="shared" si="148"/>
        <v>650</v>
      </c>
      <c r="DB96" s="3">
        <f t="shared" si="113"/>
        <v>650</v>
      </c>
      <c r="DC96" s="3">
        <f t="shared" si="257"/>
        <v>650</v>
      </c>
      <c r="DD96" s="3">
        <f t="shared" si="257"/>
        <v>650</v>
      </c>
      <c r="DE96" s="3">
        <f t="shared" si="257"/>
        <v>650</v>
      </c>
      <c r="DF96" s="3">
        <f t="shared" si="257"/>
        <v>650</v>
      </c>
      <c r="DG96" s="3">
        <f t="shared" si="257"/>
        <v>650</v>
      </c>
      <c r="DH96" s="3">
        <f t="shared" si="257"/>
        <v>650</v>
      </c>
      <c r="DI96" s="3">
        <f t="shared" si="257"/>
        <v>650</v>
      </c>
      <c r="DJ96" s="3">
        <f t="shared" si="257"/>
        <v>650</v>
      </c>
      <c r="DK96" s="3">
        <f t="shared" si="257"/>
        <v>650</v>
      </c>
      <c r="DL96" s="5">
        <v>33</v>
      </c>
      <c r="DM96" s="6">
        <f t="shared" si="50"/>
        <v>0.29629629629629628</v>
      </c>
      <c r="DQ96" s="94"/>
      <c r="DR96" s="95"/>
      <c r="DS96" s="5">
        <v>33</v>
      </c>
      <c r="DT96" s="6">
        <f t="shared" si="51"/>
        <v>0.29629629629629628</v>
      </c>
      <c r="DU96" s="3">
        <f t="shared" si="258"/>
        <v>600</v>
      </c>
      <c r="DV96" s="3">
        <f t="shared" si="258"/>
        <v>600</v>
      </c>
      <c r="DW96" s="3">
        <f t="shared" si="258"/>
        <v>600</v>
      </c>
      <c r="DX96" s="3">
        <f t="shared" si="258"/>
        <v>600</v>
      </c>
      <c r="DY96" s="3">
        <f t="shared" si="258"/>
        <v>600</v>
      </c>
      <c r="DZ96" s="3">
        <f t="shared" si="258"/>
        <v>600</v>
      </c>
      <c r="EA96" s="3">
        <f t="shared" si="258"/>
        <v>600</v>
      </c>
      <c r="EB96" s="3">
        <f t="shared" si="258"/>
        <v>600</v>
      </c>
      <c r="EC96" s="3">
        <f t="shared" si="258"/>
        <v>600</v>
      </c>
      <c r="ED96" s="3">
        <f t="shared" si="114"/>
        <v>600</v>
      </c>
      <c r="EE96" s="3">
        <f t="shared" si="149"/>
        <v>600</v>
      </c>
      <c r="EF96" s="3">
        <f t="shared" si="170"/>
        <v>600</v>
      </c>
      <c r="EG96" s="3">
        <f t="shared" si="193"/>
        <v>600</v>
      </c>
      <c r="EH96" s="3">
        <f t="shared" si="220"/>
        <v>600</v>
      </c>
      <c r="EI96" s="3">
        <f t="shared" si="227"/>
        <v>610.47824316346805</v>
      </c>
      <c r="EJ96" s="3">
        <f t="shared" si="221"/>
        <v>397.47216157674302</v>
      </c>
      <c r="EK96" s="3">
        <f t="shared" si="222"/>
        <v>157.85025134559254</v>
      </c>
      <c r="EL96" s="3">
        <f t="shared" si="223"/>
        <v>650</v>
      </c>
      <c r="EM96" s="3">
        <f t="shared" si="198"/>
        <v>650</v>
      </c>
      <c r="EN96" s="3">
        <f t="shared" si="177"/>
        <v>650</v>
      </c>
      <c r="EO96" s="3">
        <f t="shared" si="158"/>
        <v>650</v>
      </c>
      <c r="EP96" s="3">
        <f t="shared" si="125"/>
        <v>650</v>
      </c>
      <c r="EQ96" s="3">
        <f t="shared" si="259"/>
        <v>650</v>
      </c>
      <c r="ER96" s="3">
        <f t="shared" si="259"/>
        <v>650</v>
      </c>
      <c r="ES96" s="3">
        <f t="shared" si="259"/>
        <v>650</v>
      </c>
      <c r="ET96" s="3">
        <f t="shared" si="259"/>
        <v>650</v>
      </c>
      <c r="EU96" s="3">
        <f t="shared" si="259"/>
        <v>650</v>
      </c>
      <c r="EV96" s="3">
        <f t="shared" si="259"/>
        <v>650</v>
      </c>
      <c r="EW96" s="3">
        <f t="shared" si="259"/>
        <v>650</v>
      </c>
      <c r="EX96" s="3">
        <f t="shared" si="259"/>
        <v>650</v>
      </c>
      <c r="EY96" s="3">
        <f t="shared" si="259"/>
        <v>650</v>
      </c>
      <c r="EZ96" s="5">
        <v>33</v>
      </c>
      <c r="FA96" s="6">
        <f t="shared" si="55"/>
        <v>0.29629629629629628</v>
      </c>
    </row>
    <row r="97" spans="3:157" x14ac:dyDescent="0.3">
      <c r="C97" s="94"/>
      <c r="D97" s="95"/>
      <c r="E97" s="5">
        <v>32</v>
      </c>
      <c r="F97" s="6">
        <f t="shared" si="36"/>
        <v>0.28703703703703703</v>
      </c>
      <c r="G97" s="3">
        <f t="shared" si="249"/>
        <v>600</v>
      </c>
      <c r="H97" s="3">
        <f t="shared" si="249"/>
        <v>600</v>
      </c>
      <c r="I97" s="3">
        <f t="shared" si="249"/>
        <v>600</v>
      </c>
      <c r="J97" s="3">
        <f t="shared" si="249"/>
        <v>600</v>
      </c>
      <c r="K97" s="3">
        <f t="shared" si="249"/>
        <v>600</v>
      </c>
      <c r="L97" s="3">
        <f t="shared" si="249"/>
        <v>600</v>
      </c>
      <c r="M97" s="3">
        <f t="shared" si="249"/>
        <v>600</v>
      </c>
      <c r="N97" s="3">
        <f t="shared" si="249"/>
        <v>600</v>
      </c>
      <c r="O97" s="3">
        <f t="shared" si="249"/>
        <v>600</v>
      </c>
      <c r="P97" s="3">
        <f t="shared" si="87"/>
        <v>600</v>
      </c>
      <c r="Q97" s="3">
        <f t="shared" si="129"/>
        <v>600</v>
      </c>
      <c r="R97" s="3">
        <f t="shared" si="159"/>
        <v>600</v>
      </c>
      <c r="S97" s="3">
        <f t="shared" si="178"/>
        <v>600</v>
      </c>
      <c r="T97" s="3">
        <f t="shared" si="210"/>
        <v>600</v>
      </c>
      <c r="U97" s="3">
        <f t="shared" ref="U97" si="266">($F$5*$B$5*T34+$F$4*V34)/($F$4+$F$5*$B$5)</f>
        <v>610.44539903855843</v>
      </c>
      <c r="V97" s="3">
        <f t="shared" si="181"/>
        <v>611.04885163527911</v>
      </c>
      <c r="W97" s="3">
        <f t="shared" ref="W97" si="267">($F$6*$B$5*X34+$F$4*V34)/($F$4+$F$6*$B$5)</f>
        <v>612.6738073585384</v>
      </c>
      <c r="X97" s="3">
        <f t="shared" si="213"/>
        <v>650</v>
      </c>
      <c r="Y97" s="3">
        <f t="shared" si="184"/>
        <v>650</v>
      </c>
      <c r="Z97" s="3">
        <f t="shared" si="165"/>
        <v>650</v>
      </c>
      <c r="AA97" s="3">
        <f t="shared" si="137"/>
        <v>650</v>
      </c>
      <c r="AB97" s="3">
        <f t="shared" si="99"/>
        <v>650</v>
      </c>
      <c r="AC97" s="3">
        <f t="shared" si="252"/>
        <v>650</v>
      </c>
      <c r="AD97" s="3">
        <f t="shared" si="252"/>
        <v>650</v>
      </c>
      <c r="AE97" s="3">
        <f t="shared" si="252"/>
        <v>650</v>
      </c>
      <c r="AF97" s="3">
        <f t="shared" si="252"/>
        <v>650</v>
      </c>
      <c r="AG97" s="3">
        <f t="shared" si="252"/>
        <v>650</v>
      </c>
      <c r="AH97" s="3">
        <f t="shared" si="252"/>
        <v>650</v>
      </c>
      <c r="AI97" s="3">
        <f t="shared" si="252"/>
        <v>650</v>
      </c>
      <c r="AJ97" s="3">
        <f t="shared" si="252"/>
        <v>650</v>
      </c>
      <c r="AK97" s="3">
        <f t="shared" si="252"/>
        <v>650</v>
      </c>
      <c r="AL97" s="5">
        <v>32</v>
      </c>
      <c r="AM97" s="6">
        <f t="shared" si="40"/>
        <v>0.28703703703703703</v>
      </c>
      <c r="AP97" s="102"/>
      <c r="AQ97" s="101"/>
      <c r="AR97" s="5">
        <v>32</v>
      </c>
      <c r="AS97" s="6">
        <f t="shared" si="41"/>
        <v>0.28703703703703703</v>
      </c>
      <c r="AT97" s="3">
        <f t="shared" si="253"/>
        <v>600</v>
      </c>
      <c r="AU97" s="3">
        <f t="shared" si="253"/>
        <v>600</v>
      </c>
      <c r="AV97" s="3">
        <f t="shared" si="253"/>
        <v>600</v>
      </c>
      <c r="AW97" s="3">
        <f t="shared" si="253"/>
        <v>600</v>
      </c>
      <c r="AX97" s="3">
        <f t="shared" si="253"/>
        <v>600</v>
      </c>
      <c r="AY97" s="3">
        <f t="shared" si="253"/>
        <v>600</v>
      </c>
      <c r="AZ97" s="3">
        <f t="shared" si="253"/>
        <v>600</v>
      </c>
      <c r="BA97" s="3">
        <f t="shared" si="253"/>
        <v>600</v>
      </c>
      <c r="BB97" s="3">
        <f t="shared" si="253"/>
        <v>600</v>
      </c>
      <c r="BC97" s="3">
        <f t="shared" si="100"/>
        <v>600</v>
      </c>
      <c r="BD97" s="3">
        <f t="shared" si="138"/>
        <v>600</v>
      </c>
      <c r="BE97" s="3">
        <f t="shared" si="166"/>
        <v>600</v>
      </c>
      <c r="BF97" s="3">
        <f t="shared" si="185"/>
        <v>600</v>
      </c>
      <c r="BG97" s="66">
        <f t="shared" si="214"/>
        <v>600</v>
      </c>
      <c r="BH97" s="69"/>
      <c r="BI97" s="70">
        <f t="shared" si="215"/>
        <v>-2192450734.7503676</v>
      </c>
      <c r="BJ97" s="69"/>
      <c r="BK97" s="23">
        <f t="shared" si="216"/>
        <v>650</v>
      </c>
      <c r="BL97" s="3">
        <f t="shared" si="189"/>
        <v>650</v>
      </c>
      <c r="BM97" s="3">
        <f t="shared" si="167"/>
        <v>650</v>
      </c>
      <c r="BN97" s="3">
        <f t="shared" si="146"/>
        <v>650</v>
      </c>
      <c r="BO97" s="3">
        <f t="shared" si="110"/>
        <v>650</v>
      </c>
      <c r="BP97" s="3">
        <f t="shared" si="254"/>
        <v>650</v>
      </c>
      <c r="BQ97" s="3">
        <f t="shared" si="254"/>
        <v>650</v>
      </c>
      <c r="BR97" s="3">
        <f t="shared" si="254"/>
        <v>650</v>
      </c>
      <c r="BS97" s="3">
        <f t="shared" si="254"/>
        <v>650</v>
      </c>
      <c r="BT97" s="3">
        <f t="shared" si="254"/>
        <v>650</v>
      </c>
      <c r="BU97" s="3">
        <f t="shared" si="254"/>
        <v>650</v>
      </c>
      <c r="BV97" s="3">
        <f t="shared" si="254"/>
        <v>650</v>
      </c>
      <c r="BW97" s="3">
        <f t="shared" si="254"/>
        <v>650</v>
      </c>
      <c r="BX97" s="3">
        <f t="shared" si="254"/>
        <v>650</v>
      </c>
      <c r="BY97" s="5">
        <v>32</v>
      </c>
      <c r="BZ97" s="6">
        <f t="shared" si="45"/>
        <v>0.28703703703703703</v>
      </c>
      <c r="CC97" s="94"/>
      <c r="CD97" s="95"/>
      <c r="CE97" s="5">
        <v>32</v>
      </c>
      <c r="CF97" s="6">
        <f t="shared" si="46"/>
        <v>0.28703703703703703</v>
      </c>
      <c r="CG97" s="3">
        <f t="shared" si="255"/>
        <v>600</v>
      </c>
      <c r="CH97" s="3">
        <f t="shared" si="255"/>
        <v>600</v>
      </c>
      <c r="CI97" s="3">
        <f t="shared" si="255"/>
        <v>600</v>
      </c>
      <c r="CJ97" s="3">
        <f t="shared" si="255"/>
        <v>600</v>
      </c>
      <c r="CK97" s="3">
        <f t="shared" si="255"/>
        <v>600</v>
      </c>
      <c r="CL97" s="3">
        <f t="shared" si="255"/>
        <v>600</v>
      </c>
      <c r="CM97" s="3">
        <f t="shared" si="255"/>
        <v>600</v>
      </c>
      <c r="CN97" s="3">
        <f t="shared" si="255"/>
        <v>600</v>
      </c>
      <c r="CO97" s="3">
        <f t="shared" si="255"/>
        <v>600</v>
      </c>
      <c r="CP97" s="3">
        <f t="shared" si="111"/>
        <v>600</v>
      </c>
      <c r="CQ97" s="3">
        <f t="shared" si="147"/>
        <v>600</v>
      </c>
      <c r="CR97" s="3">
        <f t="shared" si="168"/>
        <v>600</v>
      </c>
      <c r="CS97" s="3">
        <f t="shared" si="190"/>
        <v>600</v>
      </c>
      <c r="CT97" s="3">
        <f t="shared" si="217"/>
        <v>600</v>
      </c>
      <c r="CU97" s="3">
        <f t="shared" ref="CU97:CW97" si="268">$L$2/($L$3-$L$4*CT97)</f>
        <v>-1.6746678575415876E-3</v>
      </c>
      <c r="CV97" s="3">
        <f t="shared" si="268"/>
        <v>0.34863354230673421</v>
      </c>
      <c r="CW97" s="3">
        <f t="shared" si="268"/>
        <v>0.39713536344133415</v>
      </c>
      <c r="CX97" s="3">
        <f t="shared" si="219"/>
        <v>650</v>
      </c>
      <c r="CY97" s="3">
        <f t="shared" si="192"/>
        <v>650</v>
      </c>
      <c r="CZ97" s="3">
        <f t="shared" si="169"/>
        <v>650</v>
      </c>
      <c r="DA97" s="3">
        <f t="shared" si="148"/>
        <v>650</v>
      </c>
      <c r="DB97" s="3">
        <f t="shared" si="113"/>
        <v>650</v>
      </c>
      <c r="DC97" s="3">
        <f t="shared" si="257"/>
        <v>650</v>
      </c>
      <c r="DD97" s="3">
        <f t="shared" si="257"/>
        <v>650</v>
      </c>
      <c r="DE97" s="3">
        <f t="shared" si="257"/>
        <v>650</v>
      </c>
      <c r="DF97" s="3">
        <f t="shared" si="257"/>
        <v>650</v>
      </c>
      <c r="DG97" s="3">
        <f t="shared" si="257"/>
        <v>650</v>
      </c>
      <c r="DH97" s="3">
        <f t="shared" si="257"/>
        <v>650</v>
      </c>
      <c r="DI97" s="3">
        <f t="shared" si="257"/>
        <v>650</v>
      </c>
      <c r="DJ97" s="3">
        <f t="shared" si="257"/>
        <v>650</v>
      </c>
      <c r="DK97" s="3">
        <f t="shared" si="257"/>
        <v>650</v>
      </c>
      <c r="DL97" s="5">
        <v>32</v>
      </c>
      <c r="DM97" s="6">
        <f t="shared" si="50"/>
        <v>0.28703703703703703</v>
      </c>
      <c r="DQ97" s="94"/>
      <c r="DR97" s="95"/>
      <c r="DS97" s="5">
        <v>32</v>
      </c>
      <c r="DT97" s="6">
        <f t="shared" si="51"/>
        <v>0.28703703703703703</v>
      </c>
      <c r="DU97" s="3">
        <f t="shared" si="258"/>
        <v>600</v>
      </c>
      <c r="DV97" s="3">
        <f t="shared" si="258"/>
        <v>600</v>
      </c>
      <c r="DW97" s="3">
        <f t="shared" si="258"/>
        <v>600</v>
      </c>
      <c r="DX97" s="3">
        <f t="shared" si="258"/>
        <v>600</v>
      </c>
      <c r="DY97" s="3">
        <f t="shared" si="258"/>
        <v>600</v>
      </c>
      <c r="DZ97" s="3">
        <f t="shared" si="258"/>
        <v>600</v>
      </c>
      <c r="EA97" s="3">
        <f t="shared" si="258"/>
        <v>600</v>
      </c>
      <c r="EB97" s="3">
        <f t="shared" si="258"/>
        <v>600</v>
      </c>
      <c r="EC97" s="3">
        <f t="shared" si="258"/>
        <v>600</v>
      </c>
      <c r="ED97" s="3">
        <f t="shared" si="114"/>
        <v>600</v>
      </c>
      <c r="EE97" s="3">
        <f t="shared" si="149"/>
        <v>600</v>
      </c>
      <c r="EF97" s="3">
        <f t="shared" si="170"/>
        <v>600</v>
      </c>
      <c r="EG97" s="3">
        <f t="shared" si="193"/>
        <v>600</v>
      </c>
      <c r="EH97" s="3">
        <f t="shared" si="220"/>
        <v>600</v>
      </c>
      <c r="EI97" s="3">
        <f t="shared" si="227"/>
        <v>610.44539903855843</v>
      </c>
      <c r="EJ97" s="3">
        <f t="shared" si="221"/>
        <v>397.45021189731818</v>
      </c>
      <c r="EK97" s="3">
        <f t="shared" si="222"/>
        <v>157.84153435167673</v>
      </c>
      <c r="EL97" s="3">
        <f t="shared" si="223"/>
        <v>650</v>
      </c>
      <c r="EM97" s="3">
        <f t="shared" si="198"/>
        <v>650</v>
      </c>
      <c r="EN97" s="3">
        <f t="shared" si="177"/>
        <v>650</v>
      </c>
      <c r="EO97" s="3">
        <f t="shared" si="158"/>
        <v>650</v>
      </c>
      <c r="EP97" s="3">
        <f t="shared" si="125"/>
        <v>650</v>
      </c>
      <c r="EQ97" s="3">
        <f t="shared" si="259"/>
        <v>650</v>
      </c>
      <c r="ER97" s="3">
        <f t="shared" si="259"/>
        <v>650</v>
      </c>
      <c r="ES97" s="3">
        <f t="shared" si="259"/>
        <v>650</v>
      </c>
      <c r="ET97" s="3">
        <f t="shared" si="259"/>
        <v>650</v>
      </c>
      <c r="EU97" s="3">
        <f t="shared" si="259"/>
        <v>650</v>
      </c>
      <c r="EV97" s="3">
        <f t="shared" si="259"/>
        <v>650</v>
      </c>
      <c r="EW97" s="3">
        <f t="shared" si="259"/>
        <v>650</v>
      </c>
      <c r="EX97" s="3">
        <f t="shared" si="259"/>
        <v>650</v>
      </c>
      <c r="EY97" s="3">
        <f t="shared" si="259"/>
        <v>650</v>
      </c>
      <c r="EZ97" s="5">
        <v>32</v>
      </c>
      <c r="FA97" s="6">
        <f t="shared" si="55"/>
        <v>0.28703703703703703</v>
      </c>
    </row>
    <row r="98" spans="3:157" x14ac:dyDescent="0.3">
      <c r="C98" s="94"/>
      <c r="D98" s="95"/>
      <c r="E98" s="5">
        <v>31</v>
      </c>
      <c r="F98" s="6">
        <f t="shared" ref="F98:F127" si="269">$B$6*(E98-1)</f>
        <v>0.27777777777777779</v>
      </c>
      <c r="G98" s="3">
        <f t="shared" si="249"/>
        <v>600</v>
      </c>
      <c r="H98" s="3">
        <f t="shared" si="249"/>
        <v>600</v>
      </c>
      <c r="I98" s="3">
        <f t="shared" si="249"/>
        <v>600</v>
      </c>
      <c r="J98" s="3">
        <f t="shared" si="249"/>
        <v>600</v>
      </c>
      <c r="K98" s="3">
        <f t="shared" si="249"/>
        <v>600</v>
      </c>
      <c r="L98" s="3">
        <f t="shared" si="249"/>
        <v>600</v>
      </c>
      <c r="M98" s="3">
        <f t="shared" si="249"/>
        <v>600</v>
      </c>
      <c r="N98" s="3">
        <f t="shared" si="249"/>
        <v>600</v>
      </c>
      <c r="O98" s="3">
        <f t="shared" si="249"/>
        <v>600</v>
      </c>
      <c r="P98" s="3">
        <f t="shared" si="87"/>
        <v>600</v>
      </c>
      <c r="Q98" s="3">
        <f t="shared" si="129"/>
        <v>600</v>
      </c>
      <c r="R98" s="3">
        <f t="shared" si="159"/>
        <v>600</v>
      </c>
      <c r="S98" s="3">
        <f t="shared" si="178"/>
        <v>600</v>
      </c>
      <c r="T98" s="3">
        <f t="shared" si="210"/>
        <v>600</v>
      </c>
      <c r="U98" s="3">
        <f t="shared" ref="U98" si="270">($F$5*$B$5*T35+$F$4*V35)/($F$4+$F$5*$B$5)</f>
        <v>610.42574056989429</v>
      </c>
      <c r="V98" s="3">
        <f t="shared" si="181"/>
        <v>611.02876511967293</v>
      </c>
      <c r="W98" s="3">
        <f t="shared" ref="W98" si="271">($F$6*$B$5*X35+$F$4*V35)/($F$4+$F$6*$B$5)</f>
        <v>612.65387585558722</v>
      </c>
      <c r="X98" s="3">
        <f t="shared" si="213"/>
        <v>650</v>
      </c>
      <c r="Y98" s="3">
        <f t="shared" si="184"/>
        <v>650</v>
      </c>
      <c r="Z98" s="3">
        <f t="shared" si="165"/>
        <v>650</v>
      </c>
      <c r="AA98" s="3">
        <f t="shared" si="137"/>
        <v>650</v>
      </c>
      <c r="AB98" s="3">
        <f t="shared" si="99"/>
        <v>650</v>
      </c>
      <c r="AC98" s="3">
        <f t="shared" si="252"/>
        <v>650</v>
      </c>
      <c r="AD98" s="3">
        <f t="shared" si="252"/>
        <v>650</v>
      </c>
      <c r="AE98" s="3">
        <f t="shared" si="252"/>
        <v>650</v>
      </c>
      <c r="AF98" s="3">
        <f t="shared" si="252"/>
        <v>650</v>
      </c>
      <c r="AG98" s="3">
        <f t="shared" si="252"/>
        <v>650</v>
      </c>
      <c r="AH98" s="3">
        <f t="shared" si="252"/>
        <v>650</v>
      </c>
      <c r="AI98" s="3">
        <f t="shared" si="252"/>
        <v>650</v>
      </c>
      <c r="AJ98" s="3">
        <f t="shared" si="252"/>
        <v>650</v>
      </c>
      <c r="AK98" s="3">
        <f t="shared" si="252"/>
        <v>650</v>
      </c>
      <c r="AL98" s="5">
        <v>31</v>
      </c>
      <c r="AM98" s="6">
        <f t="shared" ref="AM98:AM127" si="272">$B$6*(AL98-1)</f>
        <v>0.27777777777777779</v>
      </c>
      <c r="AP98" s="102"/>
      <c r="AQ98" s="101"/>
      <c r="AR98" s="5">
        <v>31</v>
      </c>
      <c r="AS98" s="6">
        <f t="shared" ref="AS98:AS127" si="273">$B$6*(AR98-1)</f>
        <v>0.27777777777777779</v>
      </c>
      <c r="AT98" s="3">
        <f t="shared" si="253"/>
        <v>600</v>
      </c>
      <c r="AU98" s="3">
        <f t="shared" si="253"/>
        <v>600</v>
      </c>
      <c r="AV98" s="3">
        <f t="shared" si="253"/>
        <v>600</v>
      </c>
      <c r="AW98" s="3">
        <f t="shared" si="253"/>
        <v>600</v>
      </c>
      <c r="AX98" s="3">
        <f t="shared" si="253"/>
        <v>600</v>
      </c>
      <c r="AY98" s="3">
        <f t="shared" si="253"/>
        <v>600</v>
      </c>
      <c r="AZ98" s="3">
        <f t="shared" si="253"/>
        <v>600</v>
      </c>
      <c r="BA98" s="3">
        <f t="shared" si="253"/>
        <v>600</v>
      </c>
      <c r="BB98" s="3">
        <f t="shared" si="253"/>
        <v>600</v>
      </c>
      <c r="BC98" s="3">
        <f t="shared" si="100"/>
        <v>600</v>
      </c>
      <c r="BD98" s="3">
        <f t="shared" si="138"/>
        <v>600</v>
      </c>
      <c r="BE98" s="3">
        <f t="shared" si="166"/>
        <v>600</v>
      </c>
      <c r="BF98" s="3">
        <f t="shared" si="185"/>
        <v>600</v>
      </c>
      <c r="BG98" s="66">
        <f t="shared" si="214"/>
        <v>600</v>
      </c>
      <c r="BH98" s="69"/>
      <c r="BI98" s="70">
        <f t="shared" si="215"/>
        <v>-2192376111.2033186</v>
      </c>
      <c r="BJ98" s="69"/>
      <c r="BK98" s="23">
        <f t="shared" si="216"/>
        <v>650</v>
      </c>
      <c r="BL98" s="3">
        <f t="shared" si="189"/>
        <v>650</v>
      </c>
      <c r="BM98" s="3">
        <f t="shared" si="167"/>
        <v>650</v>
      </c>
      <c r="BN98" s="3">
        <f t="shared" si="146"/>
        <v>650</v>
      </c>
      <c r="BO98" s="3">
        <f t="shared" si="110"/>
        <v>650</v>
      </c>
      <c r="BP98" s="3">
        <f t="shared" si="254"/>
        <v>650</v>
      </c>
      <c r="BQ98" s="3">
        <f t="shared" si="254"/>
        <v>650</v>
      </c>
      <c r="BR98" s="3">
        <f t="shared" si="254"/>
        <v>650</v>
      </c>
      <c r="BS98" s="3">
        <f t="shared" si="254"/>
        <v>650</v>
      </c>
      <c r="BT98" s="3">
        <f t="shared" si="254"/>
        <v>650</v>
      </c>
      <c r="BU98" s="3">
        <f t="shared" si="254"/>
        <v>650</v>
      </c>
      <c r="BV98" s="3">
        <f t="shared" si="254"/>
        <v>650</v>
      </c>
      <c r="BW98" s="3">
        <f t="shared" si="254"/>
        <v>650</v>
      </c>
      <c r="BX98" s="3">
        <f t="shared" si="254"/>
        <v>650</v>
      </c>
      <c r="BY98" s="5">
        <v>31</v>
      </c>
      <c r="BZ98" s="6">
        <f t="shared" ref="BZ98:BZ127" si="274">$B$6*(BY98-1)</f>
        <v>0.27777777777777779</v>
      </c>
      <c r="CC98" s="94"/>
      <c r="CD98" s="95"/>
      <c r="CE98" s="5">
        <v>31</v>
      </c>
      <c r="CF98" s="6">
        <f t="shared" ref="CF98:CF127" si="275">$B$6*(CE98-1)</f>
        <v>0.27777777777777779</v>
      </c>
      <c r="CG98" s="3">
        <f t="shared" si="255"/>
        <v>600</v>
      </c>
      <c r="CH98" s="3">
        <f t="shared" si="255"/>
        <v>600</v>
      </c>
      <c r="CI98" s="3">
        <f t="shared" si="255"/>
        <v>600</v>
      </c>
      <c r="CJ98" s="3">
        <f t="shared" si="255"/>
        <v>600</v>
      </c>
      <c r="CK98" s="3">
        <f t="shared" si="255"/>
        <v>600</v>
      </c>
      <c r="CL98" s="3">
        <f t="shared" si="255"/>
        <v>600</v>
      </c>
      <c r="CM98" s="3">
        <f t="shared" si="255"/>
        <v>600</v>
      </c>
      <c r="CN98" s="3">
        <f t="shared" si="255"/>
        <v>600</v>
      </c>
      <c r="CO98" s="3">
        <f t="shared" si="255"/>
        <v>600</v>
      </c>
      <c r="CP98" s="3">
        <f t="shared" si="111"/>
        <v>600</v>
      </c>
      <c r="CQ98" s="3">
        <f t="shared" si="147"/>
        <v>600</v>
      </c>
      <c r="CR98" s="3">
        <f t="shared" si="168"/>
        <v>600</v>
      </c>
      <c r="CS98" s="3">
        <f t="shared" si="190"/>
        <v>600</v>
      </c>
      <c r="CT98" s="3">
        <f t="shared" si="217"/>
        <v>600</v>
      </c>
      <c r="CU98" s="3">
        <f t="shared" ref="CU98:CW98" si="276">$L$2/($L$3-$L$4*CT98)</f>
        <v>-1.6746678575415876E-3</v>
      </c>
      <c r="CV98" s="3">
        <f t="shared" si="276"/>
        <v>0.34863354230673421</v>
      </c>
      <c r="CW98" s="3">
        <f t="shared" si="276"/>
        <v>0.39713536344133415</v>
      </c>
      <c r="CX98" s="3">
        <f t="shared" si="219"/>
        <v>650</v>
      </c>
      <c r="CY98" s="3">
        <f t="shared" si="192"/>
        <v>650</v>
      </c>
      <c r="CZ98" s="3">
        <f t="shared" si="169"/>
        <v>650</v>
      </c>
      <c r="DA98" s="3">
        <f t="shared" si="148"/>
        <v>650</v>
      </c>
      <c r="DB98" s="3">
        <f t="shared" si="113"/>
        <v>650</v>
      </c>
      <c r="DC98" s="3">
        <f t="shared" si="257"/>
        <v>650</v>
      </c>
      <c r="DD98" s="3">
        <f t="shared" si="257"/>
        <v>650</v>
      </c>
      <c r="DE98" s="3">
        <f t="shared" si="257"/>
        <v>650</v>
      </c>
      <c r="DF98" s="3">
        <f t="shared" si="257"/>
        <v>650</v>
      </c>
      <c r="DG98" s="3">
        <f t="shared" si="257"/>
        <v>650</v>
      </c>
      <c r="DH98" s="3">
        <f t="shared" si="257"/>
        <v>650</v>
      </c>
      <c r="DI98" s="3">
        <f t="shared" si="257"/>
        <v>650</v>
      </c>
      <c r="DJ98" s="3">
        <f t="shared" si="257"/>
        <v>650</v>
      </c>
      <c r="DK98" s="3">
        <f t="shared" si="257"/>
        <v>650</v>
      </c>
      <c r="DL98" s="5">
        <v>31</v>
      </c>
      <c r="DM98" s="6">
        <f t="shared" ref="DM98:DM127" si="277">$B$6*(DL98-1)</f>
        <v>0.27777777777777779</v>
      </c>
      <c r="DQ98" s="94"/>
      <c r="DR98" s="95"/>
      <c r="DS98" s="5">
        <v>31</v>
      </c>
      <c r="DT98" s="6">
        <f t="shared" ref="DT98:DT127" si="278">$B$6*(DS98-1)</f>
        <v>0.27777777777777779</v>
      </c>
      <c r="DU98" s="3">
        <f t="shared" si="258"/>
        <v>600</v>
      </c>
      <c r="DV98" s="3">
        <f t="shared" si="258"/>
        <v>600</v>
      </c>
      <c r="DW98" s="3">
        <f t="shared" si="258"/>
        <v>600</v>
      </c>
      <c r="DX98" s="3">
        <f t="shared" si="258"/>
        <v>600</v>
      </c>
      <c r="DY98" s="3">
        <f t="shared" si="258"/>
        <v>600</v>
      </c>
      <c r="DZ98" s="3">
        <f t="shared" si="258"/>
        <v>600</v>
      </c>
      <c r="EA98" s="3">
        <f t="shared" si="258"/>
        <v>600</v>
      </c>
      <c r="EB98" s="3">
        <f t="shared" si="258"/>
        <v>600</v>
      </c>
      <c r="EC98" s="3">
        <f t="shared" si="258"/>
        <v>600</v>
      </c>
      <c r="ED98" s="3">
        <f t="shared" si="114"/>
        <v>600</v>
      </c>
      <c r="EE98" s="3">
        <f t="shared" si="149"/>
        <v>600</v>
      </c>
      <c r="EF98" s="3">
        <f t="shared" si="170"/>
        <v>600</v>
      </c>
      <c r="EG98" s="3">
        <f t="shared" si="193"/>
        <v>600</v>
      </c>
      <c r="EH98" s="3">
        <f t="shared" si="220"/>
        <v>600</v>
      </c>
      <c r="EI98" s="3">
        <f t="shared" si="227"/>
        <v>610.42574056989429</v>
      </c>
      <c r="EJ98" s="3">
        <f t="shared" si="221"/>
        <v>397.43707417218934</v>
      </c>
      <c r="EK98" s="3">
        <f t="shared" si="222"/>
        <v>157.83631689643292</v>
      </c>
      <c r="EL98" s="3">
        <f t="shared" si="223"/>
        <v>650</v>
      </c>
      <c r="EM98" s="3">
        <f t="shared" si="198"/>
        <v>650</v>
      </c>
      <c r="EN98" s="3">
        <f t="shared" si="177"/>
        <v>650</v>
      </c>
      <c r="EO98" s="3">
        <f t="shared" si="158"/>
        <v>650</v>
      </c>
      <c r="EP98" s="3">
        <f t="shared" si="125"/>
        <v>650</v>
      </c>
      <c r="EQ98" s="3">
        <f t="shared" si="259"/>
        <v>650</v>
      </c>
      <c r="ER98" s="3">
        <f t="shared" si="259"/>
        <v>650</v>
      </c>
      <c r="ES98" s="3">
        <f t="shared" si="259"/>
        <v>650</v>
      </c>
      <c r="ET98" s="3">
        <f t="shared" si="259"/>
        <v>650</v>
      </c>
      <c r="EU98" s="3">
        <f t="shared" si="259"/>
        <v>650</v>
      </c>
      <c r="EV98" s="3">
        <f t="shared" si="259"/>
        <v>650</v>
      </c>
      <c r="EW98" s="3">
        <f t="shared" si="259"/>
        <v>650</v>
      </c>
      <c r="EX98" s="3">
        <f t="shared" si="259"/>
        <v>650</v>
      </c>
      <c r="EY98" s="3">
        <f t="shared" si="259"/>
        <v>650</v>
      </c>
      <c r="EZ98" s="5">
        <v>31</v>
      </c>
      <c r="FA98" s="6">
        <f t="shared" ref="FA98:FA127" si="279">$B$6*(EZ98-1)</f>
        <v>0.27777777777777779</v>
      </c>
    </row>
    <row r="99" spans="3:157" x14ac:dyDescent="0.3">
      <c r="C99" s="94"/>
      <c r="D99" s="95"/>
      <c r="E99" s="5">
        <v>30</v>
      </c>
      <c r="F99" s="6">
        <f t="shared" si="269"/>
        <v>0.26851851851851849</v>
      </c>
      <c r="G99" s="3">
        <f t="shared" si="249"/>
        <v>600</v>
      </c>
      <c r="H99" s="3">
        <f t="shared" si="249"/>
        <v>600</v>
      </c>
      <c r="I99" s="3">
        <f t="shared" si="249"/>
        <v>600</v>
      </c>
      <c r="J99" s="3">
        <f t="shared" si="249"/>
        <v>600</v>
      </c>
      <c r="K99" s="3">
        <f t="shared" si="249"/>
        <v>600</v>
      </c>
      <c r="L99" s="3">
        <f t="shared" si="249"/>
        <v>600</v>
      </c>
      <c r="M99" s="3">
        <f t="shared" si="249"/>
        <v>600</v>
      </c>
      <c r="N99" s="3">
        <f t="shared" si="249"/>
        <v>600</v>
      </c>
      <c r="O99" s="3">
        <f t="shared" si="249"/>
        <v>600</v>
      </c>
      <c r="P99" s="3">
        <f t="shared" si="87"/>
        <v>600</v>
      </c>
      <c r="Q99" s="3">
        <f t="shared" si="129"/>
        <v>600</v>
      </c>
      <c r="R99" s="3">
        <f t="shared" si="159"/>
        <v>600</v>
      </c>
      <c r="S99" s="3">
        <f t="shared" si="178"/>
        <v>600</v>
      </c>
      <c r="T99" s="3">
        <f t="shared" si="210"/>
        <v>600</v>
      </c>
      <c r="U99" s="3">
        <f t="shared" ref="U99" si="280">($F$5*$B$5*T36+$F$4*V36)/($F$4+$F$5*$B$5)</f>
        <v>610.41479152067893</v>
      </c>
      <c r="V99" s="3">
        <f t="shared" si="181"/>
        <v>611.01757766394121</v>
      </c>
      <c r="W99" s="3">
        <f t="shared" ref="W99" si="281">($F$6*$B$5*X36+$F$4*V36)/($F$4+$F$6*$B$5)</f>
        <v>612.64277473624395</v>
      </c>
      <c r="X99" s="3">
        <f t="shared" si="213"/>
        <v>650</v>
      </c>
      <c r="Y99" s="3">
        <f t="shared" si="184"/>
        <v>650</v>
      </c>
      <c r="Z99" s="3">
        <f t="shared" si="165"/>
        <v>650</v>
      </c>
      <c r="AA99" s="3">
        <f t="shared" si="137"/>
        <v>650</v>
      </c>
      <c r="AB99" s="3">
        <f t="shared" si="99"/>
        <v>650</v>
      </c>
      <c r="AC99" s="3">
        <f t="shared" si="252"/>
        <v>650</v>
      </c>
      <c r="AD99" s="3">
        <f t="shared" si="252"/>
        <v>650</v>
      </c>
      <c r="AE99" s="3">
        <f t="shared" si="252"/>
        <v>650</v>
      </c>
      <c r="AF99" s="3">
        <f t="shared" si="252"/>
        <v>650</v>
      </c>
      <c r="AG99" s="3">
        <f t="shared" si="252"/>
        <v>650</v>
      </c>
      <c r="AH99" s="3">
        <f t="shared" si="252"/>
        <v>650</v>
      </c>
      <c r="AI99" s="3">
        <f t="shared" si="252"/>
        <v>650</v>
      </c>
      <c r="AJ99" s="3">
        <f t="shared" si="252"/>
        <v>650</v>
      </c>
      <c r="AK99" s="3">
        <f t="shared" si="252"/>
        <v>650</v>
      </c>
      <c r="AL99" s="5">
        <v>30</v>
      </c>
      <c r="AM99" s="6">
        <f t="shared" si="272"/>
        <v>0.26851851851851849</v>
      </c>
      <c r="AP99" s="102"/>
      <c r="AQ99" s="101"/>
      <c r="AR99" s="5">
        <v>30</v>
      </c>
      <c r="AS99" s="6">
        <f t="shared" si="273"/>
        <v>0.26851851851851849</v>
      </c>
      <c r="AT99" s="3">
        <f t="shared" si="253"/>
        <v>600</v>
      </c>
      <c r="AU99" s="3">
        <f t="shared" si="253"/>
        <v>600</v>
      </c>
      <c r="AV99" s="3">
        <f t="shared" si="253"/>
        <v>600</v>
      </c>
      <c r="AW99" s="3">
        <f t="shared" si="253"/>
        <v>600</v>
      </c>
      <c r="AX99" s="3">
        <f t="shared" si="253"/>
        <v>600</v>
      </c>
      <c r="AY99" s="3">
        <f t="shared" si="253"/>
        <v>600</v>
      </c>
      <c r="AZ99" s="3">
        <f t="shared" si="253"/>
        <v>600</v>
      </c>
      <c r="BA99" s="3">
        <f t="shared" si="253"/>
        <v>600</v>
      </c>
      <c r="BB99" s="3">
        <f t="shared" si="253"/>
        <v>600</v>
      </c>
      <c r="BC99" s="3">
        <f t="shared" si="100"/>
        <v>600</v>
      </c>
      <c r="BD99" s="3">
        <f t="shared" si="138"/>
        <v>600</v>
      </c>
      <c r="BE99" s="3">
        <f t="shared" si="166"/>
        <v>600</v>
      </c>
      <c r="BF99" s="3">
        <f t="shared" si="185"/>
        <v>600</v>
      </c>
      <c r="BG99" s="66">
        <f t="shared" si="214"/>
        <v>600</v>
      </c>
      <c r="BH99" s="69"/>
      <c r="BI99" s="70">
        <f t="shared" si="215"/>
        <v>-2192334548.6124973</v>
      </c>
      <c r="BJ99" s="69"/>
      <c r="BK99" s="23">
        <f t="shared" si="216"/>
        <v>650</v>
      </c>
      <c r="BL99" s="3">
        <f t="shared" si="189"/>
        <v>650</v>
      </c>
      <c r="BM99" s="3">
        <f t="shared" si="167"/>
        <v>650</v>
      </c>
      <c r="BN99" s="3">
        <f t="shared" si="146"/>
        <v>650</v>
      </c>
      <c r="BO99" s="3">
        <f t="shared" si="110"/>
        <v>650</v>
      </c>
      <c r="BP99" s="3">
        <f t="shared" si="254"/>
        <v>650</v>
      </c>
      <c r="BQ99" s="3">
        <f t="shared" si="254"/>
        <v>650</v>
      </c>
      <c r="BR99" s="3">
        <f t="shared" si="254"/>
        <v>650</v>
      </c>
      <c r="BS99" s="3">
        <f t="shared" si="254"/>
        <v>650</v>
      </c>
      <c r="BT99" s="3">
        <f t="shared" si="254"/>
        <v>650</v>
      </c>
      <c r="BU99" s="3">
        <f t="shared" si="254"/>
        <v>650</v>
      </c>
      <c r="BV99" s="3">
        <f t="shared" si="254"/>
        <v>650</v>
      </c>
      <c r="BW99" s="3">
        <f t="shared" si="254"/>
        <v>650</v>
      </c>
      <c r="BX99" s="3">
        <f t="shared" si="254"/>
        <v>650</v>
      </c>
      <c r="BY99" s="5">
        <v>30</v>
      </c>
      <c r="BZ99" s="6">
        <f t="shared" si="274"/>
        <v>0.26851851851851849</v>
      </c>
      <c r="CC99" s="94"/>
      <c r="CD99" s="95"/>
      <c r="CE99" s="5">
        <v>30</v>
      </c>
      <c r="CF99" s="6">
        <f t="shared" si="275"/>
        <v>0.26851851851851849</v>
      </c>
      <c r="CG99" s="3">
        <f t="shared" si="255"/>
        <v>600</v>
      </c>
      <c r="CH99" s="3">
        <f t="shared" si="255"/>
        <v>600</v>
      </c>
      <c r="CI99" s="3">
        <f t="shared" si="255"/>
        <v>600</v>
      </c>
      <c r="CJ99" s="3">
        <f t="shared" si="255"/>
        <v>600</v>
      </c>
      <c r="CK99" s="3">
        <f t="shared" si="255"/>
        <v>600</v>
      </c>
      <c r="CL99" s="3">
        <f t="shared" si="255"/>
        <v>600</v>
      </c>
      <c r="CM99" s="3">
        <f t="shared" si="255"/>
        <v>600</v>
      </c>
      <c r="CN99" s="3">
        <f t="shared" si="255"/>
        <v>600</v>
      </c>
      <c r="CO99" s="3">
        <f t="shared" si="255"/>
        <v>600</v>
      </c>
      <c r="CP99" s="3">
        <f t="shared" si="111"/>
        <v>600</v>
      </c>
      <c r="CQ99" s="3">
        <f t="shared" si="147"/>
        <v>600</v>
      </c>
      <c r="CR99" s="3">
        <f t="shared" si="168"/>
        <v>600</v>
      </c>
      <c r="CS99" s="3">
        <f t="shared" si="190"/>
        <v>600</v>
      </c>
      <c r="CT99" s="3">
        <f t="shared" si="217"/>
        <v>600</v>
      </c>
      <c r="CU99" s="3">
        <f t="shared" ref="CU99:CW99" si="282">$L$2/($L$3-$L$4*CT99)</f>
        <v>-1.6746678575415876E-3</v>
      </c>
      <c r="CV99" s="3">
        <f t="shared" si="282"/>
        <v>0.34863354230673421</v>
      </c>
      <c r="CW99" s="3">
        <f t="shared" si="282"/>
        <v>0.39713536344133415</v>
      </c>
      <c r="CX99" s="3">
        <f t="shared" si="219"/>
        <v>650</v>
      </c>
      <c r="CY99" s="3">
        <f t="shared" si="192"/>
        <v>650</v>
      </c>
      <c r="CZ99" s="3">
        <f t="shared" si="169"/>
        <v>650</v>
      </c>
      <c r="DA99" s="3">
        <f t="shared" si="148"/>
        <v>650</v>
      </c>
      <c r="DB99" s="3">
        <f t="shared" si="113"/>
        <v>650</v>
      </c>
      <c r="DC99" s="3">
        <f t="shared" si="257"/>
        <v>650</v>
      </c>
      <c r="DD99" s="3">
        <f t="shared" si="257"/>
        <v>650</v>
      </c>
      <c r="DE99" s="3">
        <f t="shared" si="257"/>
        <v>650</v>
      </c>
      <c r="DF99" s="3">
        <f t="shared" si="257"/>
        <v>650</v>
      </c>
      <c r="DG99" s="3">
        <f t="shared" si="257"/>
        <v>650</v>
      </c>
      <c r="DH99" s="3">
        <f t="shared" si="257"/>
        <v>650</v>
      </c>
      <c r="DI99" s="3">
        <f t="shared" si="257"/>
        <v>650</v>
      </c>
      <c r="DJ99" s="3">
        <f t="shared" si="257"/>
        <v>650</v>
      </c>
      <c r="DK99" s="3">
        <f t="shared" si="257"/>
        <v>650</v>
      </c>
      <c r="DL99" s="5">
        <v>30</v>
      </c>
      <c r="DM99" s="6">
        <f t="shared" si="277"/>
        <v>0.26851851851851849</v>
      </c>
      <c r="DQ99" s="94"/>
      <c r="DR99" s="95"/>
      <c r="DS99" s="5">
        <v>30</v>
      </c>
      <c r="DT99" s="6">
        <f t="shared" si="278"/>
        <v>0.26851851851851849</v>
      </c>
      <c r="DU99" s="3">
        <f t="shared" si="258"/>
        <v>600</v>
      </c>
      <c r="DV99" s="3">
        <f t="shared" si="258"/>
        <v>600</v>
      </c>
      <c r="DW99" s="3">
        <f t="shared" si="258"/>
        <v>600</v>
      </c>
      <c r="DX99" s="3">
        <f t="shared" si="258"/>
        <v>600</v>
      </c>
      <c r="DY99" s="3">
        <f t="shared" si="258"/>
        <v>600</v>
      </c>
      <c r="DZ99" s="3">
        <f t="shared" si="258"/>
        <v>600</v>
      </c>
      <c r="EA99" s="3">
        <f t="shared" si="258"/>
        <v>600</v>
      </c>
      <c r="EB99" s="3">
        <f t="shared" si="258"/>
        <v>600</v>
      </c>
      <c r="EC99" s="3">
        <f t="shared" si="258"/>
        <v>600</v>
      </c>
      <c r="ED99" s="3">
        <f t="shared" si="114"/>
        <v>600</v>
      </c>
      <c r="EE99" s="3">
        <f t="shared" si="149"/>
        <v>600</v>
      </c>
      <c r="EF99" s="3">
        <f t="shared" si="170"/>
        <v>600</v>
      </c>
      <c r="EG99" s="3">
        <f t="shared" si="193"/>
        <v>600</v>
      </c>
      <c r="EH99" s="3">
        <f t="shared" si="220"/>
        <v>600</v>
      </c>
      <c r="EI99" s="3">
        <f t="shared" si="227"/>
        <v>610.41479152067893</v>
      </c>
      <c r="EJ99" s="3">
        <f t="shared" si="221"/>
        <v>397.42975693901781</v>
      </c>
      <c r="EK99" s="3">
        <f t="shared" si="222"/>
        <v>157.83341096437795</v>
      </c>
      <c r="EL99" s="3">
        <f t="shared" si="223"/>
        <v>650</v>
      </c>
      <c r="EM99" s="3">
        <f t="shared" si="198"/>
        <v>650</v>
      </c>
      <c r="EN99" s="3">
        <f t="shared" si="177"/>
        <v>650</v>
      </c>
      <c r="EO99" s="3">
        <f t="shared" si="158"/>
        <v>650</v>
      </c>
      <c r="EP99" s="3">
        <f t="shared" si="125"/>
        <v>650</v>
      </c>
      <c r="EQ99" s="3">
        <f t="shared" si="259"/>
        <v>650</v>
      </c>
      <c r="ER99" s="3">
        <f t="shared" si="259"/>
        <v>650</v>
      </c>
      <c r="ES99" s="3">
        <f t="shared" si="259"/>
        <v>650</v>
      </c>
      <c r="ET99" s="3">
        <f t="shared" si="259"/>
        <v>650</v>
      </c>
      <c r="EU99" s="3">
        <f t="shared" si="259"/>
        <v>650</v>
      </c>
      <c r="EV99" s="3">
        <f t="shared" si="259"/>
        <v>650</v>
      </c>
      <c r="EW99" s="3">
        <f t="shared" si="259"/>
        <v>650</v>
      </c>
      <c r="EX99" s="3">
        <f t="shared" si="259"/>
        <v>650</v>
      </c>
      <c r="EY99" s="3">
        <f t="shared" si="259"/>
        <v>650</v>
      </c>
      <c r="EZ99" s="5">
        <v>30</v>
      </c>
      <c r="FA99" s="6">
        <f t="shared" si="279"/>
        <v>0.26851851851851849</v>
      </c>
    </row>
    <row r="100" spans="3:157" x14ac:dyDescent="0.3">
      <c r="C100" s="94"/>
      <c r="D100" s="95"/>
      <c r="E100" s="5">
        <v>29</v>
      </c>
      <c r="F100" s="6">
        <f t="shared" si="269"/>
        <v>0.25925925925925924</v>
      </c>
      <c r="G100" s="3">
        <f t="shared" si="249"/>
        <v>600</v>
      </c>
      <c r="H100" s="3">
        <f t="shared" si="249"/>
        <v>600</v>
      </c>
      <c r="I100" s="3">
        <f t="shared" si="249"/>
        <v>600</v>
      </c>
      <c r="J100" s="3">
        <f t="shared" si="249"/>
        <v>600</v>
      </c>
      <c r="K100" s="3">
        <f t="shared" si="249"/>
        <v>600</v>
      </c>
      <c r="L100" s="3">
        <f t="shared" si="249"/>
        <v>600</v>
      </c>
      <c r="M100" s="3">
        <f t="shared" si="249"/>
        <v>600</v>
      </c>
      <c r="N100" s="3">
        <f t="shared" si="249"/>
        <v>600</v>
      </c>
      <c r="O100" s="3">
        <f t="shared" si="249"/>
        <v>600</v>
      </c>
      <c r="P100" s="3">
        <f t="shared" si="87"/>
        <v>600</v>
      </c>
      <c r="Q100" s="3">
        <f t="shared" si="129"/>
        <v>600</v>
      </c>
      <c r="R100" s="3">
        <f t="shared" si="159"/>
        <v>600</v>
      </c>
      <c r="S100" s="3">
        <f t="shared" si="178"/>
        <v>600</v>
      </c>
      <c r="T100" s="3">
        <f t="shared" si="210"/>
        <v>600</v>
      </c>
      <c r="U100" s="3">
        <f t="shared" ref="U100" si="283">($F$5*$B$5*T37+$F$4*V37)/($F$4+$F$5*$B$5)</f>
        <v>610.41008129568968</v>
      </c>
      <c r="V100" s="3">
        <f t="shared" si="181"/>
        <v>611.01276487768735</v>
      </c>
      <c r="W100" s="3">
        <f t="shared" ref="W100" si="284">($F$6*$B$5*X37+$F$4*V37)/($F$4+$F$6*$B$5)</f>
        <v>612.63799909146314</v>
      </c>
      <c r="X100" s="3">
        <f t="shared" si="213"/>
        <v>650</v>
      </c>
      <c r="Y100" s="3">
        <f t="shared" si="184"/>
        <v>650</v>
      </c>
      <c r="Z100" s="3">
        <f t="shared" si="165"/>
        <v>650</v>
      </c>
      <c r="AA100" s="3">
        <f t="shared" si="137"/>
        <v>650</v>
      </c>
      <c r="AB100" s="3">
        <f t="shared" si="99"/>
        <v>650</v>
      </c>
      <c r="AC100" s="3">
        <f t="shared" si="252"/>
        <v>650</v>
      </c>
      <c r="AD100" s="3">
        <f t="shared" si="252"/>
        <v>650</v>
      </c>
      <c r="AE100" s="3">
        <f t="shared" si="252"/>
        <v>650</v>
      </c>
      <c r="AF100" s="3">
        <f t="shared" si="252"/>
        <v>650</v>
      </c>
      <c r="AG100" s="3">
        <f t="shared" si="252"/>
        <v>650</v>
      </c>
      <c r="AH100" s="3">
        <f t="shared" si="252"/>
        <v>650</v>
      </c>
      <c r="AI100" s="3">
        <f t="shared" si="252"/>
        <v>650</v>
      </c>
      <c r="AJ100" s="3">
        <f t="shared" si="252"/>
        <v>650</v>
      </c>
      <c r="AK100" s="3">
        <f t="shared" si="252"/>
        <v>650</v>
      </c>
      <c r="AL100" s="5">
        <v>29</v>
      </c>
      <c r="AM100" s="6">
        <f t="shared" si="272"/>
        <v>0.25925925925925924</v>
      </c>
      <c r="AP100" s="102"/>
      <c r="AQ100" s="101"/>
      <c r="AR100" s="5">
        <v>29</v>
      </c>
      <c r="AS100" s="6">
        <f t="shared" si="273"/>
        <v>0.25925925925925924</v>
      </c>
      <c r="AT100" s="3">
        <f t="shared" si="253"/>
        <v>600</v>
      </c>
      <c r="AU100" s="3">
        <f t="shared" si="253"/>
        <v>600</v>
      </c>
      <c r="AV100" s="3">
        <f t="shared" si="253"/>
        <v>600</v>
      </c>
      <c r="AW100" s="3">
        <f t="shared" si="253"/>
        <v>600</v>
      </c>
      <c r="AX100" s="3">
        <f t="shared" si="253"/>
        <v>600</v>
      </c>
      <c r="AY100" s="3">
        <f t="shared" si="253"/>
        <v>600</v>
      </c>
      <c r="AZ100" s="3">
        <f t="shared" si="253"/>
        <v>600</v>
      </c>
      <c r="BA100" s="3">
        <f t="shared" si="253"/>
        <v>600</v>
      </c>
      <c r="BB100" s="3">
        <f t="shared" si="253"/>
        <v>600</v>
      </c>
      <c r="BC100" s="3">
        <f t="shared" si="100"/>
        <v>600</v>
      </c>
      <c r="BD100" s="3">
        <f t="shared" si="138"/>
        <v>600</v>
      </c>
      <c r="BE100" s="3">
        <f t="shared" si="166"/>
        <v>600</v>
      </c>
      <c r="BF100" s="3">
        <f t="shared" si="185"/>
        <v>600</v>
      </c>
      <c r="BG100" s="66">
        <f t="shared" si="214"/>
        <v>600</v>
      </c>
      <c r="BH100" s="69"/>
      <c r="BI100" s="70">
        <f t="shared" si="215"/>
        <v>-2192316668.5984383</v>
      </c>
      <c r="BJ100" s="69"/>
      <c r="BK100" s="23">
        <f t="shared" si="216"/>
        <v>650</v>
      </c>
      <c r="BL100" s="3">
        <f t="shared" si="189"/>
        <v>650</v>
      </c>
      <c r="BM100" s="3">
        <f t="shared" si="167"/>
        <v>650</v>
      </c>
      <c r="BN100" s="3">
        <f t="shared" si="146"/>
        <v>650</v>
      </c>
      <c r="BO100" s="3">
        <f t="shared" si="110"/>
        <v>650</v>
      </c>
      <c r="BP100" s="3">
        <f t="shared" si="254"/>
        <v>650</v>
      </c>
      <c r="BQ100" s="3">
        <f t="shared" si="254"/>
        <v>650</v>
      </c>
      <c r="BR100" s="3">
        <f t="shared" si="254"/>
        <v>650</v>
      </c>
      <c r="BS100" s="3">
        <f t="shared" si="254"/>
        <v>650</v>
      </c>
      <c r="BT100" s="3">
        <f t="shared" si="254"/>
        <v>650</v>
      </c>
      <c r="BU100" s="3">
        <f t="shared" si="254"/>
        <v>650</v>
      </c>
      <c r="BV100" s="3">
        <f t="shared" si="254"/>
        <v>650</v>
      </c>
      <c r="BW100" s="3">
        <f t="shared" si="254"/>
        <v>650</v>
      </c>
      <c r="BX100" s="3">
        <f t="shared" si="254"/>
        <v>650</v>
      </c>
      <c r="BY100" s="5">
        <v>29</v>
      </c>
      <c r="BZ100" s="6">
        <f t="shared" si="274"/>
        <v>0.25925925925925924</v>
      </c>
      <c r="CC100" s="94"/>
      <c r="CD100" s="95"/>
      <c r="CE100" s="5">
        <v>29</v>
      </c>
      <c r="CF100" s="6">
        <f t="shared" si="275"/>
        <v>0.25925925925925924</v>
      </c>
      <c r="CG100" s="3">
        <f t="shared" si="255"/>
        <v>600</v>
      </c>
      <c r="CH100" s="3">
        <f t="shared" si="255"/>
        <v>600</v>
      </c>
      <c r="CI100" s="3">
        <f t="shared" si="255"/>
        <v>600</v>
      </c>
      <c r="CJ100" s="3">
        <f t="shared" si="255"/>
        <v>600</v>
      </c>
      <c r="CK100" s="3">
        <f t="shared" si="255"/>
        <v>600</v>
      </c>
      <c r="CL100" s="3">
        <f t="shared" si="255"/>
        <v>600</v>
      </c>
      <c r="CM100" s="3">
        <f t="shared" si="255"/>
        <v>600</v>
      </c>
      <c r="CN100" s="3">
        <f t="shared" si="255"/>
        <v>600</v>
      </c>
      <c r="CO100" s="3">
        <f t="shared" si="255"/>
        <v>600</v>
      </c>
      <c r="CP100" s="3">
        <f t="shared" si="111"/>
        <v>600</v>
      </c>
      <c r="CQ100" s="3">
        <f t="shared" si="147"/>
        <v>600</v>
      </c>
      <c r="CR100" s="3">
        <f t="shared" si="168"/>
        <v>600</v>
      </c>
      <c r="CS100" s="3">
        <f t="shared" si="190"/>
        <v>600</v>
      </c>
      <c r="CT100" s="3">
        <f t="shared" si="217"/>
        <v>600</v>
      </c>
      <c r="CU100" s="3">
        <f t="shared" ref="CU100:CW100" si="285">$L$2/($L$3-$L$4*CT100)</f>
        <v>-1.6746678575415876E-3</v>
      </c>
      <c r="CV100" s="3">
        <f t="shared" si="285"/>
        <v>0.34863354230673421</v>
      </c>
      <c r="CW100" s="3">
        <f t="shared" si="285"/>
        <v>0.39713536344133415</v>
      </c>
      <c r="CX100" s="3">
        <f t="shared" si="219"/>
        <v>650</v>
      </c>
      <c r="CY100" s="3">
        <f t="shared" si="192"/>
        <v>650</v>
      </c>
      <c r="CZ100" s="3">
        <f t="shared" si="169"/>
        <v>650</v>
      </c>
      <c r="DA100" s="3">
        <f t="shared" si="148"/>
        <v>650</v>
      </c>
      <c r="DB100" s="3">
        <f t="shared" si="113"/>
        <v>650</v>
      </c>
      <c r="DC100" s="3">
        <f t="shared" si="257"/>
        <v>650</v>
      </c>
      <c r="DD100" s="3">
        <f t="shared" si="257"/>
        <v>650</v>
      </c>
      <c r="DE100" s="3">
        <f t="shared" si="257"/>
        <v>650</v>
      </c>
      <c r="DF100" s="3">
        <f t="shared" si="257"/>
        <v>650</v>
      </c>
      <c r="DG100" s="3">
        <f t="shared" si="257"/>
        <v>650</v>
      </c>
      <c r="DH100" s="3">
        <f t="shared" si="257"/>
        <v>650</v>
      </c>
      <c r="DI100" s="3">
        <f t="shared" si="257"/>
        <v>650</v>
      </c>
      <c r="DJ100" s="3">
        <f t="shared" si="257"/>
        <v>650</v>
      </c>
      <c r="DK100" s="3">
        <f t="shared" si="257"/>
        <v>650</v>
      </c>
      <c r="DL100" s="5">
        <v>29</v>
      </c>
      <c r="DM100" s="6">
        <f t="shared" si="277"/>
        <v>0.25925925925925924</v>
      </c>
      <c r="DQ100" s="94"/>
      <c r="DR100" s="95"/>
      <c r="DS100" s="5">
        <v>29</v>
      </c>
      <c r="DT100" s="6">
        <f t="shared" si="278"/>
        <v>0.25925925925925924</v>
      </c>
      <c r="DU100" s="3">
        <f t="shared" si="258"/>
        <v>600</v>
      </c>
      <c r="DV100" s="3">
        <f t="shared" si="258"/>
        <v>600</v>
      </c>
      <c r="DW100" s="3">
        <f t="shared" si="258"/>
        <v>600</v>
      </c>
      <c r="DX100" s="3">
        <f t="shared" si="258"/>
        <v>600</v>
      </c>
      <c r="DY100" s="3">
        <f t="shared" si="258"/>
        <v>600</v>
      </c>
      <c r="DZ100" s="3">
        <f t="shared" si="258"/>
        <v>600</v>
      </c>
      <c r="EA100" s="3">
        <f t="shared" si="258"/>
        <v>600</v>
      </c>
      <c r="EB100" s="3">
        <f t="shared" si="258"/>
        <v>600</v>
      </c>
      <c r="EC100" s="3">
        <f t="shared" si="258"/>
        <v>600</v>
      </c>
      <c r="ED100" s="3">
        <f t="shared" si="114"/>
        <v>600</v>
      </c>
      <c r="EE100" s="3">
        <f t="shared" si="149"/>
        <v>600</v>
      </c>
      <c r="EF100" s="3">
        <f t="shared" si="170"/>
        <v>600</v>
      </c>
      <c r="EG100" s="3">
        <f t="shared" si="193"/>
        <v>600</v>
      </c>
      <c r="EH100" s="3">
        <f t="shared" si="220"/>
        <v>600</v>
      </c>
      <c r="EI100" s="3">
        <f t="shared" si="227"/>
        <v>610.41008129568968</v>
      </c>
      <c r="EJ100" s="3">
        <f t="shared" si="221"/>
        <v>397.42660910272076</v>
      </c>
      <c r="EK100" s="3">
        <f t="shared" si="222"/>
        <v>157.83216084726607</v>
      </c>
      <c r="EL100" s="3">
        <f t="shared" si="223"/>
        <v>650</v>
      </c>
      <c r="EM100" s="3">
        <f t="shared" si="198"/>
        <v>650</v>
      </c>
      <c r="EN100" s="3">
        <f t="shared" si="177"/>
        <v>650</v>
      </c>
      <c r="EO100" s="3">
        <f t="shared" si="158"/>
        <v>650</v>
      </c>
      <c r="EP100" s="3">
        <f t="shared" si="125"/>
        <v>650</v>
      </c>
      <c r="EQ100" s="3">
        <f t="shared" si="259"/>
        <v>650</v>
      </c>
      <c r="ER100" s="3">
        <f t="shared" si="259"/>
        <v>650</v>
      </c>
      <c r="ES100" s="3">
        <f t="shared" si="259"/>
        <v>650</v>
      </c>
      <c r="ET100" s="3">
        <f t="shared" si="259"/>
        <v>650</v>
      </c>
      <c r="EU100" s="3">
        <f t="shared" si="259"/>
        <v>650</v>
      </c>
      <c r="EV100" s="3">
        <f t="shared" si="259"/>
        <v>650</v>
      </c>
      <c r="EW100" s="3">
        <f t="shared" si="259"/>
        <v>650</v>
      </c>
      <c r="EX100" s="3">
        <f t="shared" si="259"/>
        <v>650</v>
      </c>
      <c r="EY100" s="3">
        <f t="shared" si="259"/>
        <v>650</v>
      </c>
      <c r="EZ100" s="5">
        <v>29</v>
      </c>
      <c r="FA100" s="6">
        <f t="shared" si="279"/>
        <v>0.25925925925925924</v>
      </c>
    </row>
    <row r="101" spans="3:157" x14ac:dyDescent="0.3">
      <c r="C101" s="94"/>
      <c r="D101" s="95"/>
      <c r="E101" s="5">
        <v>28</v>
      </c>
      <c r="F101" s="6">
        <f t="shared" si="269"/>
        <v>0.25</v>
      </c>
      <c r="G101" s="3">
        <f t="shared" si="249"/>
        <v>600</v>
      </c>
      <c r="H101" s="3">
        <f t="shared" si="249"/>
        <v>600</v>
      </c>
      <c r="I101" s="3">
        <f t="shared" si="249"/>
        <v>600</v>
      </c>
      <c r="J101" s="3">
        <f t="shared" si="249"/>
        <v>600</v>
      </c>
      <c r="K101" s="3">
        <f t="shared" si="249"/>
        <v>600</v>
      </c>
      <c r="L101" s="3">
        <f t="shared" si="249"/>
        <v>600</v>
      </c>
      <c r="M101" s="3">
        <f t="shared" si="249"/>
        <v>600</v>
      </c>
      <c r="N101" s="3">
        <f t="shared" si="249"/>
        <v>600</v>
      </c>
      <c r="O101" s="3">
        <f t="shared" si="249"/>
        <v>600</v>
      </c>
      <c r="P101" s="3">
        <f t="shared" si="87"/>
        <v>600</v>
      </c>
      <c r="Q101" s="3">
        <f t="shared" si="129"/>
        <v>600</v>
      </c>
      <c r="R101" s="3">
        <f t="shared" si="159"/>
        <v>600</v>
      </c>
      <c r="S101" s="3">
        <f t="shared" si="178"/>
        <v>600</v>
      </c>
      <c r="T101" s="3">
        <f t="shared" si="210"/>
        <v>600</v>
      </c>
      <c r="U101" s="3">
        <f t="shared" ref="U101" si="286">($F$5*$B$5*T38+$F$4*V38)/($F$4+$F$5*$B$5)</f>
        <v>610.41058614011195</v>
      </c>
      <c r="V101" s="3">
        <f t="shared" si="181"/>
        <v>611.0132807146806</v>
      </c>
      <c r="W101" s="3">
        <f t="shared" ref="W101" si="287">($F$6*$B$5*X38+$F$4*V38)/($F$4+$F$6*$B$5)</f>
        <v>612.63851094761355</v>
      </c>
      <c r="X101" s="3">
        <f t="shared" si="213"/>
        <v>650</v>
      </c>
      <c r="Y101" s="3">
        <f t="shared" si="184"/>
        <v>650</v>
      </c>
      <c r="Z101" s="3">
        <f t="shared" si="165"/>
        <v>650</v>
      </c>
      <c r="AA101" s="3">
        <f t="shared" si="137"/>
        <v>650</v>
      </c>
      <c r="AB101" s="3">
        <f t="shared" si="99"/>
        <v>650</v>
      </c>
      <c r="AC101" s="3">
        <f t="shared" si="252"/>
        <v>650</v>
      </c>
      <c r="AD101" s="3">
        <f t="shared" si="252"/>
        <v>650</v>
      </c>
      <c r="AE101" s="3">
        <f t="shared" si="252"/>
        <v>650</v>
      </c>
      <c r="AF101" s="3">
        <f t="shared" si="252"/>
        <v>650</v>
      </c>
      <c r="AG101" s="3">
        <f t="shared" si="252"/>
        <v>650</v>
      </c>
      <c r="AH101" s="3">
        <f t="shared" si="252"/>
        <v>650</v>
      </c>
      <c r="AI101" s="3">
        <f t="shared" si="252"/>
        <v>650</v>
      </c>
      <c r="AJ101" s="3">
        <f t="shared" si="252"/>
        <v>650</v>
      </c>
      <c r="AK101" s="3">
        <f t="shared" si="252"/>
        <v>650</v>
      </c>
      <c r="AL101" s="5">
        <v>28</v>
      </c>
      <c r="AM101" s="6">
        <f t="shared" si="272"/>
        <v>0.25</v>
      </c>
      <c r="AP101" s="102"/>
      <c r="AQ101" s="101"/>
      <c r="AR101" s="5">
        <v>28</v>
      </c>
      <c r="AS101" s="6">
        <f t="shared" si="273"/>
        <v>0.25</v>
      </c>
      <c r="AT101" s="3">
        <f t="shared" si="253"/>
        <v>600</v>
      </c>
      <c r="AU101" s="3">
        <f t="shared" si="253"/>
        <v>600</v>
      </c>
      <c r="AV101" s="3">
        <f t="shared" si="253"/>
        <v>600</v>
      </c>
      <c r="AW101" s="3">
        <f t="shared" si="253"/>
        <v>600</v>
      </c>
      <c r="AX101" s="3">
        <f t="shared" si="253"/>
        <v>600</v>
      </c>
      <c r="AY101" s="3">
        <f t="shared" si="253"/>
        <v>600</v>
      </c>
      <c r="AZ101" s="3">
        <f t="shared" si="253"/>
        <v>600</v>
      </c>
      <c r="BA101" s="3">
        <f t="shared" si="253"/>
        <v>600</v>
      </c>
      <c r="BB101" s="3">
        <f t="shared" si="253"/>
        <v>600</v>
      </c>
      <c r="BC101" s="3">
        <f t="shared" si="100"/>
        <v>600</v>
      </c>
      <c r="BD101" s="3">
        <f t="shared" si="138"/>
        <v>600</v>
      </c>
      <c r="BE101" s="3">
        <f t="shared" si="166"/>
        <v>600</v>
      </c>
      <c r="BF101" s="3">
        <f t="shared" si="185"/>
        <v>600</v>
      </c>
      <c r="BG101" s="66">
        <f t="shared" si="214"/>
        <v>600</v>
      </c>
      <c r="BH101" s="69"/>
      <c r="BI101" s="70">
        <f t="shared" si="215"/>
        <v>-2192318584.987865</v>
      </c>
      <c r="BJ101" s="69"/>
      <c r="BK101" s="23">
        <f t="shared" si="216"/>
        <v>650</v>
      </c>
      <c r="BL101" s="3">
        <f t="shared" si="189"/>
        <v>650</v>
      </c>
      <c r="BM101" s="3">
        <f t="shared" si="167"/>
        <v>650</v>
      </c>
      <c r="BN101" s="3">
        <f t="shared" si="146"/>
        <v>650</v>
      </c>
      <c r="BO101" s="3">
        <f t="shared" si="110"/>
        <v>650</v>
      </c>
      <c r="BP101" s="3">
        <f t="shared" si="254"/>
        <v>650</v>
      </c>
      <c r="BQ101" s="3">
        <f t="shared" si="254"/>
        <v>650</v>
      </c>
      <c r="BR101" s="3">
        <f t="shared" si="254"/>
        <v>650</v>
      </c>
      <c r="BS101" s="3">
        <f t="shared" si="254"/>
        <v>650</v>
      </c>
      <c r="BT101" s="3">
        <f t="shared" si="254"/>
        <v>650</v>
      </c>
      <c r="BU101" s="3">
        <f t="shared" si="254"/>
        <v>650</v>
      </c>
      <c r="BV101" s="3">
        <f t="shared" si="254"/>
        <v>650</v>
      </c>
      <c r="BW101" s="3">
        <f t="shared" si="254"/>
        <v>650</v>
      </c>
      <c r="BX101" s="3">
        <f t="shared" si="254"/>
        <v>650</v>
      </c>
      <c r="BY101" s="5">
        <v>28</v>
      </c>
      <c r="BZ101" s="6">
        <f t="shared" si="274"/>
        <v>0.25</v>
      </c>
      <c r="CC101" s="94"/>
      <c r="CD101" s="95"/>
      <c r="CE101" s="5">
        <v>28</v>
      </c>
      <c r="CF101" s="6">
        <f t="shared" si="275"/>
        <v>0.25</v>
      </c>
      <c r="CG101" s="3">
        <f t="shared" si="255"/>
        <v>600</v>
      </c>
      <c r="CH101" s="3">
        <f t="shared" si="255"/>
        <v>600</v>
      </c>
      <c r="CI101" s="3">
        <f t="shared" si="255"/>
        <v>600</v>
      </c>
      <c r="CJ101" s="3">
        <f t="shared" si="255"/>
        <v>600</v>
      </c>
      <c r="CK101" s="3">
        <f t="shared" si="255"/>
        <v>600</v>
      </c>
      <c r="CL101" s="3">
        <f t="shared" si="255"/>
        <v>600</v>
      </c>
      <c r="CM101" s="3">
        <f t="shared" si="255"/>
        <v>600</v>
      </c>
      <c r="CN101" s="3">
        <f t="shared" si="255"/>
        <v>600</v>
      </c>
      <c r="CO101" s="3">
        <f t="shared" si="255"/>
        <v>600</v>
      </c>
      <c r="CP101" s="3">
        <f t="shared" si="111"/>
        <v>600</v>
      </c>
      <c r="CQ101" s="3">
        <f t="shared" si="147"/>
        <v>600</v>
      </c>
      <c r="CR101" s="3">
        <f t="shared" si="168"/>
        <v>600</v>
      </c>
      <c r="CS101" s="3">
        <f t="shared" si="190"/>
        <v>600</v>
      </c>
      <c r="CT101" s="3">
        <f t="shared" si="217"/>
        <v>600</v>
      </c>
      <c r="CU101" s="3">
        <f t="shared" ref="CU101:CW101" si="288">$L$2/($L$3-$L$4*CT101)</f>
        <v>-1.6746678575415876E-3</v>
      </c>
      <c r="CV101" s="3">
        <f t="shared" si="288"/>
        <v>0.34863354230673421</v>
      </c>
      <c r="CW101" s="3">
        <f t="shared" si="288"/>
        <v>0.39713536344133415</v>
      </c>
      <c r="CX101" s="3">
        <f t="shared" si="219"/>
        <v>650</v>
      </c>
      <c r="CY101" s="3">
        <f t="shared" si="192"/>
        <v>650</v>
      </c>
      <c r="CZ101" s="3">
        <f t="shared" si="169"/>
        <v>650</v>
      </c>
      <c r="DA101" s="3">
        <f t="shared" si="148"/>
        <v>650</v>
      </c>
      <c r="DB101" s="3">
        <f t="shared" si="113"/>
        <v>650</v>
      </c>
      <c r="DC101" s="3">
        <f t="shared" si="257"/>
        <v>650</v>
      </c>
      <c r="DD101" s="3">
        <f t="shared" si="257"/>
        <v>650</v>
      </c>
      <c r="DE101" s="3">
        <f t="shared" si="257"/>
        <v>650</v>
      </c>
      <c r="DF101" s="3">
        <f t="shared" si="257"/>
        <v>650</v>
      </c>
      <c r="DG101" s="3">
        <f t="shared" si="257"/>
        <v>650</v>
      </c>
      <c r="DH101" s="3">
        <f t="shared" si="257"/>
        <v>650</v>
      </c>
      <c r="DI101" s="3">
        <f t="shared" si="257"/>
        <v>650</v>
      </c>
      <c r="DJ101" s="3">
        <f t="shared" si="257"/>
        <v>650</v>
      </c>
      <c r="DK101" s="3">
        <f t="shared" si="257"/>
        <v>650</v>
      </c>
      <c r="DL101" s="5">
        <v>28</v>
      </c>
      <c r="DM101" s="6">
        <f t="shared" si="277"/>
        <v>0.25</v>
      </c>
      <c r="DQ101" s="94"/>
      <c r="DR101" s="95"/>
      <c r="DS101" s="5">
        <v>28</v>
      </c>
      <c r="DT101" s="6">
        <f t="shared" si="278"/>
        <v>0.25</v>
      </c>
      <c r="DU101" s="3">
        <f t="shared" si="258"/>
        <v>600</v>
      </c>
      <c r="DV101" s="3">
        <f t="shared" si="258"/>
        <v>600</v>
      </c>
      <c r="DW101" s="3">
        <f t="shared" si="258"/>
        <v>600</v>
      </c>
      <c r="DX101" s="3">
        <f t="shared" si="258"/>
        <v>600</v>
      </c>
      <c r="DY101" s="3">
        <f t="shared" si="258"/>
        <v>600</v>
      </c>
      <c r="DZ101" s="3">
        <f t="shared" si="258"/>
        <v>600</v>
      </c>
      <c r="EA101" s="3">
        <f t="shared" si="258"/>
        <v>600</v>
      </c>
      <c r="EB101" s="3">
        <f t="shared" si="258"/>
        <v>600</v>
      </c>
      <c r="EC101" s="3">
        <f t="shared" si="258"/>
        <v>600</v>
      </c>
      <c r="ED101" s="3">
        <f t="shared" si="114"/>
        <v>600</v>
      </c>
      <c r="EE101" s="3">
        <f t="shared" si="149"/>
        <v>600</v>
      </c>
      <c r="EF101" s="3">
        <f t="shared" si="170"/>
        <v>600</v>
      </c>
      <c r="EG101" s="3">
        <f t="shared" si="193"/>
        <v>600</v>
      </c>
      <c r="EH101" s="3">
        <f t="shared" si="220"/>
        <v>600</v>
      </c>
      <c r="EI101" s="3">
        <f t="shared" si="227"/>
        <v>610.41058614011195</v>
      </c>
      <c r="EJ101" s="3">
        <f t="shared" si="221"/>
        <v>397.42694648949106</v>
      </c>
      <c r="EK101" s="3">
        <f t="shared" si="222"/>
        <v>157.83229483548371</v>
      </c>
      <c r="EL101" s="3">
        <f t="shared" si="223"/>
        <v>650</v>
      </c>
      <c r="EM101" s="3">
        <f t="shared" si="198"/>
        <v>650</v>
      </c>
      <c r="EN101" s="3">
        <f t="shared" si="177"/>
        <v>650</v>
      </c>
      <c r="EO101" s="3">
        <f t="shared" si="158"/>
        <v>650</v>
      </c>
      <c r="EP101" s="3">
        <f t="shared" si="125"/>
        <v>650</v>
      </c>
      <c r="EQ101" s="3">
        <f t="shared" si="259"/>
        <v>650</v>
      </c>
      <c r="ER101" s="3">
        <f t="shared" si="259"/>
        <v>650</v>
      </c>
      <c r="ES101" s="3">
        <f t="shared" si="259"/>
        <v>650</v>
      </c>
      <c r="ET101" s="3">
        <f t="shared" si="259"/>
        <v>650</v>
      </c>
      <c r="EU101" s="3">
        <f t="shared" si="259"/>
        <v>650</v>
      </c>
      <c r="EV101" s="3">
        <f t="shared" si="259"/>
        <v>650</v>
      </c>
      <c r="EW101" s="3">
        <f t="shared" si="259"/>
        <v>650</v>
      </c>
      <c r="EX101" s="3">
        <f t="shared" si="259"/>
        <v>650</v>
      </c>
      <c r="EY101" s="3">
        <f t="shared" si="259"/>
        <v>650</v>
      </c>
      <c r="EZ101" s="5">
        <v>28</v>
      </c>
      <c r="FA101" s="6">
        <f t="shared" si="279"/>
        <v>0.25</v>
      </c>
    </row>
    <row r="102" spans="3:157" x14ac:dyDescent="0.3">
      <c r="C102" s="94"/>
      <c r="D102" s="95"/>
      <c r="E102" s="5">
        <v>27</v>
      </c>
      <c r="F102" s="6">
        <f t="shared" si="269"/>
        <v>0.24074074074074073</v>
      </c>
      <c r="G102" s="3">
        <f t="shared" si="249"/>
        <v>600</v>
      </c>
      <c r="H102" s="3">
        <f t="shared" si="249"/>
        <v>600</v>
      </c>
      <c r="I102" s="3">
        <f t="shared" si="249"/>
        <v>600</v>
      </c>
      <c r="J102" s="3">
        <f t="shared" si="249"/>
        <v>600</v>
      </c>
      <c r="K102" s="3">
        <f t="shared" si="249"/>
        <v>600</v>
      </c>
      <c r="L102" s="3">
        <f t="shared" si="249"/>
        <v>600</v>
      </c>
      <c r="M102" s="3">
        <f t="shared" si="249"/>
        <v>600</v>
      </c>
      <c r="N102" s="3">
        <f t="shared" si="249"/>
        <v>600</v>
      </c>
      <c r="O102" s="3">
        <f t="shared" si="249"/>
        <v>600</v>
      </c>
      <c r="P102" s="3">
        <f t="shared" si="87"/>
        <v>600</v>
      </c>
      <c r="Q102" s="3">
        <f t="shared" si="129"/>
        <v>600</v>
      </c>
      <c r="R102" s="3">
        <f t="shared" si="159"/>
        <v>600</v>
      </c>
      <c r="S102" s="3">
        <f t="shared" si="178"/>
        <v>600</v>
      </c>
      <c r="T102" s="3">
        <f t="shared" si="210"/>
        <v>600</v>
      </c>
      <c r="U102" s="3">
        <f t="shared" ref="U102" si="289">($F$5*$B$5*T39+$F$4*V39)/($F$4+$F$5*$B$5)</f>
        <v>610.41650490734924</v>
      </c>
      <c r="V102" s="3">
        <f t="shared" si="181"/>
        <v>611.01932835819298</v>
      </c>
      <c r="W102" s="3">
        <f t="shared" ref="W102" si="290">($F$6*$B$5*X39+$F$4*V39)/($F$4+$F$6*$B$5)</f>
        <v>612.64451191995124</v>
      </c>
      <c r="X102" s="3">
        <f t="shared" si="213"/>
        <v>650</v>
      </c>
      <c r="Y102" s="3">
        <f t="shared" si="184"/>
        <v>650</v>
      </c>
      <c r="Z102" s="3">
        <f t="shared" si="165"/>
        <v>650</v>
      </c>
      <c r="AA102" s="3">
        <f t="shared" si="137"/>
        <v>650</v>
      </c>
      <c r="AB102" s="3">
        <f t="shared" si="99"/>
        <v>650</v>
      </c>
      <c r="AC102" s="3">
        <f t="shared" si="252"/>
        <v>650</v>
      </c>
      <c r="AD102" s="3">
        <f t="shared" si="252"/>
        <v>650</v>
      </c>
      <c r="AE102" s="3">
        <f t="shared" si="252"/>
        <v>650</v>
      </c>
      <c r="AF102" s="3">
        <f t="shared" si="252"/>
        <v>650</v>
      </c>
      <c r="AG102" s="3">
        <f t="shared" si="252"/>
        <v>650</v>
      </c>
      <c r="AH102" s="3">
        <f t="shared" si="252"/>
        <v>650</v>
      </c>
      <c r="AI102" s="3">
        <f t="shared" si="252"/>
        <v>650</v>
      </c>
      <c r="AJ102" s="3">
        <f t="shared" si="252"/>
        <v>650</v>
      </c>
      <c r="AK102" s="3">
        <f t="shared" si="252"/>
        <v>650</v>
      </c>
      <c r="AL102" s="5">
        <v>27</v>
      </c>
      <c r="AM102" s="6">
        <f t="shared" si="272"/>
        <v>0.24074074074074073</v>
      </c>
      <c r="AP102" s="102"/>
      <c r="AQ102" s="101"/>
      <c r="AR102" s="5">
        <v>27</v>
      </c>
      <c r="AS102" s="6">
        <f t="shared" si="273"/>
        <v>0.24074074074074073</v>
      </c>
      <c r="AT102" s="3">
        <f t="shared" si="253"/>
        <v>600</v>
      </c>
      <c r="AU102" s="3">
        <f t="shared" si="253"/>
        <v>600</v>
      </c>
      <c r="AV102" s="3">
        <f t="shared" si="253"/>
        <v>600</v>
      </c>
      <c r="AW102" s="3">
        <f t="shared" si="253"/>
        <v>600</v>
      </c>
      <c r="AX102" s="3">
        <f t="shared" si="253"/>
        <v>600</v>
      </c>
      <c r="AY102" s="3">
        <f t="shared" si="253"/>
        <v>600</v>
      </c>
      <c r="AZ102" s="3">
        <f t="shared" si="253"/>
        <v>600</v>
      </c>
      <c r="BA102" s="3">
        <f t="shared" si="253"/>
        <v>600</v>
      </c>
      <c r="BB102" s="3">
        <f t="shared" si="253"/>
        <v>600</v>
      </c>
      <c r="BC102" s="3">
        <f t="shared" si="100"/>
        <v>600</v>
      </c>
      <c r="BD102" s="3">
        <f t="shared" si="138"/>
        <v>600</v>
      </c>
      <c r="BE102" s="3">
        <f t="shared" si="166"/>
        <v>600</v>
      </c>
      <c r="BF102" s="3">
        <f t="shared" si="185"/>
        <v>600</v>
      </c>
      <c r="BG102" s="66">
        <f t="shared" si="214"/>
        <v>600</v>
      </c>
      <c r="BH102" s="69"/>
      <c r="BI102" s="70">
        <f t="shared" si="215"/>
        <v>-2192341052.6282978</v>
      </c>
      <c r="BJ102" s="69"/>
      <c r="BK102" s="23">
        <f t="shared" si="216"/>
        <v>650</v>
      </c>
      <c r="BL102" s="3">
        <f t="shared" si="189"/>
        <v>650</v>
      </c>
      <c r="BM102" s="3">
        <f t="shared" si="167"/>
        <v>650</v>
      </c>
      <c r="BN102" s="3">
        <f t="shared" si="146"/>
        <v>650</v>
      </c>
      <c r="BO102" s="3">
        <f t="shared" si="110"/>
        <v>650</v>
      </c>
      <c r="BP102" s="3">
        <f t="shared" si="254"/>
        <v>650</v>
      </c>
      <c r="BQ102" s="3">
        <f t="shared" si="254"/>
        <v>650</v>
      </c>
      <c r="BR102" s="3">
        <f t="shared" si="254"/>
        <v>650</v>
      </c>
      <c r="BS102" s="3">
        <f t="shared" si="254"/>
        <v>650</v>
      </c>
      <c r="BT102" s="3">
        <f t="shared" si="254"/>
        <v>650</v>
      </c>
      <c r="BU102" s="3">
        <f t="shared" si="254"/>
        <v>650</v>
      </c>
      <c r="BV102" s="3">
        <f t="shared" si="254"/>
        <v>650</v>
      </c>
      <c r="BW102" s="3">
        <f t="shared" si="254"/>
        <v>650</v>
      </c>
      <c r="BX102" s="3">
        <f t="shared" si="254"/>
        <v>650</v>
      </c>
      <c r="BY102" s="5">
        <v>27</v>
      </c>
      <c r="BZ102" s="6">
        <f t="shared" si="274"/>
        <v>0.24074074074074073</v>
      </c>
      <c r="CC102" s="94"/>
      <c r="CD102" s="95"/>
      <c r="CE102" s="5">
        <v>27</v>
      </c>
      <c r="CF102" s="6">
        <f t="shared" si="275"/>
        <v>0.24074074074074073</v>
      </c>
      <c r="CG102" s="3">
        <f t="shared" si="255"/>
        <v>600</v>
      </c>
      <c r="CH102" s="3">
        <f t="shared" si="255"/>
        <v>600</v>
      </c>
      <c r="CI102" s="3">
        <f t="shared" si="255"/>
        <v>600</v>
      </c>
      <c r="CJ102" s="3">
        <f t="shared" si="255"/>
        <v>600</v>
      </c>
      <c r="CK102" s="3">
        <f t="shared" si="255"/>
        <v>600</v>
      </c>
      <c r="CL102" s="3">
        <f t="shared" si="255"/>
        <v>600</v>
      </c>
      <c r="CM102" s="3">
        <f t="shared" si="255"/>
        <v>600</v>
      </c>
      <c r="CN102" s="3">
        <f t="shared" si="255"/>
        <v>600</v>
      </c>
      <c r="CO102" s="3">
        <f t="shared" si="255"/>
        <v>600</v>
      </c>
      <c r="CP102" s="3">
        <f t="shared" si="111"/>
        <v>600</v>
      </c>
      <c r="CQ102" s="3">
        <f t="shared" si="147"/>
        <v>600</v>
      </c>
      <c r="CR102" s="3">
        <f t="shared" si="168"/>
        <v>600</v>
      </c>
      <c r="CS102" s="3">
        <f t="shared" si="190"/>
        <v>600</v>
      </c>
      <c r="CT102" s="3">
        <f t="shared" si="217"/>
        <v>600</v>
      </c>
      <c r="CU102" s="3">
        <f t="shared" ref="CU102:CW102" si="291">$L$2/($L$3-$L$4*CT102)</f>
        <v>-1.6746678575415876E-3</v>
      </c>
      <c r="CV102" s="3">
        <f t="shared" si="291"/>
        <v>0.34863354230673421</v>
      </c>
      <c r="CW102" s="3">
        <f t="shared" si="291"/>
        <v>0.39713536344133415</v>
      </c>
      <c r="CX102" s="3">
        <f t="shared" si="219"/>
        <v>650</v>
      </c>
      <c r="CY102" s="3">
        <f t="shared" si="192"/>
        <v>650</v>
      </c>
      <c r="CZ102" s="3">
        <f t="shared" si="169"/>
        <v>650</v>
      </c>
      <c r="DA102" s="3">
        <f t="shared" si="148"/>
        <v>650</v>
      </c>
      <c r="DB102" s="3">
        <f t="shared" si="113"/>
        <v>650</v>
      </c>
      <c r="DC102" s="3">
        <f t="shared" si="257"/>
        <v>650</v>
      </c>
      <c r="DD102" s="3">
        <f t="shared" si="257"/>
        <v>650</v>
      </c>
      <c r="DE102" s="3">
        <f t="shared" si="257"/>
        <v>650</v>
      </c>
      <c r="DF102" s="3">
        <f t="shared" si="257"/>
        <v>650</v>
      </c>
      <c r="DG102" s="3">
        <f t="shared" si="257"/>
        <v>650</v>
      </c>
      <c r="DH102" s="3">
        <f t="shared" si="257"/>
        <v>650</v>
      </c>
      <c r="DI102" s="3">
        <f t="shared" si="257"/>
        <v>650</v>
      </c>
      <c r="DJ102" s="3">
        <f t="shared" si="257"/>
        <v>650</v>
      </c>
      <c r="DK102" s="3">
        <f t="shared" si="257"/>
        <v>650</v>
      </c>
      <c r="DL102" s="5">
        <v>27</v>
      </c>
      <c r="DM102" s="6">
        <f t="shared" si="277"/>
        <v>0.24074074074074073</v>
      </c>
      <c r="DQ102" s="94"/>
      <c r="DR102" s="95"/>
      <c r="DS102" s="5">
        <v>27</v>
      </c>
      <c r="DT102" s="6">
        <f t="shared" si="278"/>
        <v>0.24074074074074073</v>
      </c>
      <c r="DU102" s="3">
        <f t="shared" si="258"/>
        <v>600</v>
      </c>
      <c r="DV102" s="3">
        <f t="shared" si="258"/>
        <v>600</v>
      </c>
      <c r="DW102" s="3">
        <f t="shared" si="258"/>
        <v>600</v>
      </c>
      <c r="DX102" s="3">
        <f t="shared" si="258"/>
        <v>600</v>
      </c>
      <c r="DY102" s="3">
        <f t="shared" si="258"/>
        <v>600</v>
      </c>
      <c r="DZ102" s="3">
        <f t="shared" si="258"/>
        <v>600</v>
      </c>
      <c r="EA102" s="3">
        <f t="shared" si="258"/>
        <v>600</v>
      </c>
      <c r="EB102" s="3">
        <f t="shared" si="258"/>
        <v>600</v>
      </c>
      <c r="EC102" s="3">
        <f t="shared" si="258"/>
        <v>600</v>
      </c>
      <c r="ED102" s="3">
        <f t="shared" si="114"/>
        <v>600</v>
      </c>
      <c r="EE102" s="3">
        <f t="shared" si="149"/>
        <v>600</v>
      </c>
      <c r="EF102" s="3">
        <f t="shared" si="170"/>
        <v>600</v>
      </c>
      <c r="EG102" s="3">
        <f t="shared" si="193"/>
        <v>600</v>
      </c>
      <c r="EH102" s="3">
        <f t="shared" si="220"/>
        <v>600</v>
      </c>
      <c r="EI102" s="3">
        <f t="shared" si="227"/>
        <v>610.41650490734924</v>
      </c>
      <c r="EJ102" s="3">
        <f t="shared" si="221"/>
        <v>397.43090199276014</v>
      </c>
      <c r="EK102" s="3">
        <f t="shared" si="222"/>
        <v>157.83386570571207</v>
      </c>
      <c r="EL102" s="3">
        <f t="shared" si="223"/>
        <v>650</v>
      </c>
      <c r="EM102" s="3">
        <f t="shared" si="198"/>
        <v>650</v>
      </c>
      <c r="EN102" s="3">
        <f t="shared" si="177"/>
        <v>650</v>
      </c>
      <c r="EO102" s="3">
        <f t="shared" si="158"/>
        <v>650</v>
      </c>
      <c r="EP102" s="3">
        <f t="shared" si="125"/>
        <v>650</v>
      </c>
      <c r="EQ102" s="3">
        <f t="shared" si="259"/>
        <v>650</v>
      </c>
      <c r="ER102" s="3">
        <f t="shared" si="259"/>
        <v>650</v>
      </c>
      <c r="ES102" s="3">
        <f t="shared" si="259"/>
        <v>650</v>
      </c>
      <c r="ET102" s="3">
        <f t="shared" si="259"/>
        <v>650</v>
      </c>
      <c r="EU102" s="3">
        <f t="shared" si="259"/>
        <v>650</v>
      </c>
      <c r="EV102" s="3">
        <f t="shared" si="259"/>
        <v>650</v>
      </c>
      <c r="EW102" s="3">
        <f t="shared" si="259"/>
        <v>650</v>
      </c>
      <c r="EX102" s="3">
        <f t="shared" si="259"/>
        <v>650</v>
      </c>
      <c r="EY102" s="3">
        <f t="shared" si="259"/>
        <v>650</v>
      </c>
      <c r="EZ102" s="5">
        <v>27</v>
      </c>
      <c r="FA102" s="6">
        <f t="shared" si="279"/>
        <v>0.24074074074074073</v>
      </c>
    </row>
    <row r="103" spans="3:157" x14ac:dyDescent="0.3">
      <c r="C103" s="94"/>
      <c r="D103" s="95"/>
      <c r="E103" s="5">
        <v>26</v>
      </c>
      <c r="F103" s="6">
        <f t="shared" si="269"/>
        <v>0.23148148148148145</v>
      </c>
      <c r="G103" s="3">
        <f t="shared" si="249"/>
        <v>600</v>
      </c>
      <c r="H103" s="3">
        <f t="shared" si="249"/>
        <v>600</v>
      </c>
      <c r="I103" s="3">
        <f t="shared" si="249"/>
        <v>600</v>
      </c>
      <c r="J103" s="3">
        <f t="shared" si="249"/>
        <v>600</v>
      </c>
      <c r="K103" s="3">
        <f t="shared" si="249"/>
        <v>600</v>
      </c>
      <c r="L103" s="3">
        <f t="shared" si="249"/>
        <v>600</v>
      </c>
      <c r="M103" s="3">
        <f t="shared" si="249"/>
        <v>600</v>
      </c>
      <c r="N103" s="3">
        <f t="shared" si="249"/>
        <v>600</v>
      </c>
      <c r="O103" s="3">
        <f t="shared" si="249"/>
        <v>600</v>
      </c>
      <c r="P103" s="3">
        <f t="shared" si="87"/>
        <v>600</v>
      </c>
      <c r="Q103" s="3">
        <f t="shared" si="129"/>
        <v>600</v>
      </c>
      <c r="R103" s="3">
        <f t="shared" si="159"/>
        <v>600</v>
      </c>
      <c r="S103" s="3">
        <f t="shared" si="178"/>
        <v>600</v>
      </c>
      <c r="T103" s="3">
        <f t="shared" si="210"/>
        <v>600</v>
      </c>
      <c r="U103" s="3">
        <f t="shared" ref="U103" si="292">($F$5*$B$5*T40+$F$4*V40)/($F$4+$F$5*$B$5)</f>
        <v>610.42931994522075</v>
      </c>
      <c r="V103" s="3">
        <f t="shared" si="181"/>
        <v>611.03242243294517</v>
      </c>
      <c r="W103" s="3">
        <f t="shared" ref="W103" si="293">($F$6*$B$5*X40+$F$4*V40)/($F$4+$F$6*$B$5)</f>
        <v>612.6575049444599</v>
      </c>
      <c r="X103" s="3">
        <f t="shared" si="213"/>
        <v>650</v>
      </c>
      <c r="Y103" s="3">
        <f t="shared" si="184"/>
        <v>650</v>
      </c>
      <c r="Z103" s="3">
        <f t="shared" si="165"/>
        <v>650</v>
      </c>
      <c r="AA103" s="3">
        <f t="shared" si="137"/>
        <v>650</v>
      </c>
      <c r="AB103" s="3">
        <f t="shared" si="99"/>
        <v>650</v>
      </c>
      <c r="AC103" s="3">
        <f t="shared" si="252"/>
        <v>650</v>
      </c>
      <c r="AD103" s="3">
        <f t="shared" si="252"/>
        <v>650</v>
      </c>
      <c r="AE103" s="3">
        <f t="shared" si="252"/>
        <v>650</v>
      </c>
      <c r="AF103" s="3">
        <f t="shared" si="252"/>
        <v>650</v>
      </c>
      <c r="AG103" s="3">
        <f t="shared" si="252"/>
        <v>650</v>
      </c>
      <c r="AH103" s="3">
        <f t="shared" si="252"/>
        <v>650</v>
      </c>
      <c r="AI103" s="3">
        <f t="shared" si="252"/>
        <v>650</v>
      </c>
      <c r="AJ103" s="3">
        <f t="shared" si="252"/>
        <v>650</v>
      </c>
      <c r="AK103" s="3">
        <f t="shared" si="252"/>
        <v>650</v>
      </c>
      <c r="AL103" s="5">
        <v>26</v>
      </c>
      <c r="AM103" s="6">
        <f t="shared" si="272"/>
        <v>0.23148148148148145</v>
      </c>
      <c r="AP103" s="102"/>
      <c r="AQ103" s="101"/>
      <c r="AR103" s="5">
        <v>26</v>
      </c>
      <c r="AS103" s="6">
        <f t="shared" si="273"/>
        <v>0.23148148148148145</v>
      </c>
      <c r="AT103" s="3">
        <f t="shared" si="253"/>
        <v>600</v>
      </c>
      <c r="AU103" s="3">
        <f t="shared" si="253"/>
        <v>600</v>
      </c>
      <c r="AV103" s="3">
        <f t="shared" si="253"/>
        <v>600</v>
      </c>
      <c r="AW103" s="3">
        <f t="shared" si="253"/>
        <v>600</v>
      </c>
      <c r="AX103" s="3">
        <f t="shared" si="253"/>
        <v>600</v>
      </c>
      <c r="AY103" s="3">
        <f t="shared" si="253"/>
        <v>600</v>
      </c>
      <c r="AZ103" s="3">
        <f t="shared" si="253"/>
        <v>600</v>
      </c>
      <c r="BA103" s="3">
        <f t="shared" si="253"/>
        <v>600</v>
      </c>
      <c r="BB103" s="3">
        <f t="shared" si="253"/>
        <v>600</v>
      </c>
      <c r="BC103" s="3">
        <f t="shared" si="100"/>
        <v>600</v>
      </c>
      <c r="BD103" s="3">
        <f t="shared" si="138"/>
        <v>600</v>
      </c>
      <c r="BE103" s="3">
        <f t="shared" si="166"/>
        <v>600</v>
      </c>
      <c r="BF103" s="3">
        <f t="shared" si="185"/>
        <v>600</v>
      </c>
      <c r="BG103" s="66">
        <f t="shared" si="214"/>
        <v>600</v>
      </c>
      <c r="BH103" s="69"/>
      <c r="BI103" s="70">
        <f t="shared" si="215"/>
        <v>-2192389698.5120578</v>
      </c>
      <c r="BJ103" s="69"/>
      <c r="BK103" s="23">
        <f t="shared" si="216"/>
        <v>650</v>
      </c>
      <c r="BL103" s="3">
        <f t="shared" si="189"/>
        <v>650</v>
      </c>
      <c r="BM103" s="3">
        <f t="shared" si="167"/>
        <v>650</v>
      </c>
      <c r="BN103" s="3">
        <f t="shared" si="146"/>
        <v>650</v>
      </c>
      <c r="BO103" s="3">
        <f t="shared" si="110"/>
        <v>650</v>
      </c>
      <c r="BP103" s="3">
        <f t="shared" si="254"/>
        <v>650</v>
      </c>
      <c r="BQ103" s="3">
        <f t="shared" si="254"/>
        <v>650</v>
      </c>
      <c r="BR103" s="3">
        <f t="shared" si="254"/>
        <v>650</v>
      </c>
      <c r="BS103" s="3">
        <f t="shared" si="254"/>
        <v>650</v>
      </c>
      <c r="BT103" s="3">
        <f t="shared" si="254"/>
        <v>650</v>
      </c>
      <c r="BU103" s="3">
        <f t="shared" si="254"/>
        <v>650</v>
      </c>
      <c r="BV103" s="3">
        <f t="shared" si="254"/>
        <v>650</v>
      </c>
      <c r="BW103" s="3">
        <f t="shared" si="254"/>
        <v>650</v>
      </c>
      <c r="BX103" s="3">
        <f t="shared" si="254"/>
        <v>650</v>
      </c>
      <c r="BY103" s="5">
        <v>26</v>
      </c>
      <c r="BZ103" s="6">
        <f t="shared" si="274"/>
        <v>0.23148148148148145</v>
      </c>
      <c r="CC103" s="94"/>
      <c r="CD103" s="95"/>
      <c r="CE103" s="5">
        <v>26</v>
      </c>
      <c r="CF103" s="6">
        <f t="shared" si="275"/>
        <v>0.23148148148148145</v>
      </c>
      <c r="CG103" s="3">
        <f t="shared" si="255"/>
        <v>600</v>
      </c>
      <c r="CH103" s="3">
        <f t="shared" si="255"/>
        <v>600</v>
      </c>
      <c r="CI103" s="3">
        <f t="shared" si="255"/>
        <v>600</v>
      </c>
      <c r="CJ103" s="3">
        <f t="shared" si="255"/>
        <v>600</v>
      </c>
      <c r="CK103" s="3">
        <f t="shared" si="255"/>
        <v>600</v>
      </c>
      <c r="CL103" s="3">
        <f t="shared" si="255"/>
        <v>600</v>
      </c>
      <c r="CM103" s="3">
        <f t="shared" si="255"/>
        <v>600</v>
      </c>
      <c r="CN103" s="3">
        <f t="shared" si="255"/>
        <v>600</v>
      </c>
      <c r="CO103" s="3">
        <f t="shared" si="255"/>
        <v>600</v>
      </c>
      <c r="CP103" s="3">
        <f t="shared" si="111"/>
        <v>600</v>
      </c>
      <c r="CQ103" s="3">
        <f t="shared" si="147"/>
        <v>600</v>
      </c>
      <c r="CR103" s="3">
        <f t="shared" si="168"/>
        <v>600</v>
      </c>
      <c r="CS103" s="3">
        <f t="shared" si="190"/>
        <v>600</v>
      </c>
      <c r="CT103" s="3">
        <f t="shared" si="217"/>
        <v>600</v>
      </c>
      <c r="CU103" s="3">
        <f t="shared" ref="CU103:CW103" si="294">$L$2/($L$3-$L$4*CT103)</f>
        <v>-1.6746678575415876E-3</v>
      </c>
      <c r="CV103" s="3">
        <f t="shared" si="294"/>
        <v>0.34863354230673421</v>
      </c>
      <c r="CW103" s="3">
        <f t="shared" si="294"/>
        <v>0.39713536344133415</v>
      </c>
      <c r="CX103" s="3">
        <f t="shared" si="219"/>
        <v>650</v>
      </c>
      <c r="CY103" s="3">
        <f t="shared" si="192"/>
        <v>650</v>
      </c>
      <c r="CZ103" s="3">
        <f t="shared" si="169"/>
        <v>650</v>
      </c>
      <c r="DA103" s="3">
        <f t="shared" si="148"/>
        <v>650</v>
      </c>
      <c r="DB103" s="3">
        <f t="shared" si="113"/>
        <v>650</v>
      </c>
      <c r="DC103" s="3">
        <f t="shared" si="257"/>
        <v>650</v>
      </c>
      <c r="DD103" s="3">
        <f t="shared" si="257"/>
        <v>650</v>
      </c>
      <c r="DE103" s="3">
        <f t="shared" si="257"/>
        <v>650</v>
      </c>
      <c r="DF103" s="3">
        <f t="shared" si="257"/>
        <v>650</v>
      </c>
      <c r="DG103" s="3">
        <f t="shared" si="257"/>
        <v>650</v>
      </c>
      <c r="DH103" s="3">
        <f t="shared" si="257"/>
        <v>650</v>
      </c>
      <c r="DI103" s="3">
        <f t="shared" si="257"/>
        <v>650</v>
      </c>
      <c r="DJ103" s="3">
        <f t="shared" si="257"/>
        <v>650</v>
      </c>
      <c r="DK103" s="3">
        <f t="shared" si="257"/>
        <v>650</v>
      </c>
      <c r="DL103" s="5">
        <v>26</v>
      </c>
      <c r="DM103" s="6">
        <f t="shared" si="277"/>
        <v>0.23148148148148145</v>
      </c>
      <c r="DQ103" s="94"/>
      <c r="DR103" s="95"/>
      <c r="DS103" s="5">
        <v>26</v>
      </c>
      <c r="DT103" s="6">
        <f t="shared" si="278"/>
        <v>0.23148148148148145</v>
      </c>
      <c r="DU103" s="3">
        <f t="shared" si="258"/>
        <v>600</v>
      </c>
      <c r="DV103" s="3">
        <f t="shared" si="258"/>
        <v>600</v>
      </c>
      <c r="DW103" s="3">
        <f t="shared" si="258"/>
        <v>600</v>
      </c>
      <c r="DX103" s="3">
        <f t="shared" si="258"/>
        <v>600</v>
      </c>
      <c r="DY103" s="3">
        <f t="shared" si="258"/>
        <v>600</v>
      </c>
      <c r="DZ103" s="3">
        <f t="shared" si="258"/>
        <v>600</v>
      </c>
      <c r="EA103" s="3">
        <f t="shared" si="258"/>
        <v>600</v>
      </c>
      <c r="EB103" s="3">
        <f t="shared" si="258"/>
        <v>600</v>
      </c>
      <c r="EC103" s="3">
        <f t="shared" si="258"/>
        <v>600</v>
      </c>
      <c r="ED103" s="3">
        <f t="shared" si="114"/>
        <v>600</v>
      </c>
      <c r="EE103" s="3">
        <f t="shared" si="149"/>
        <v>600</v>
      </c>
      <c r="EF103" s="3">
        <f t="shared" si="170"/>
        <v>600</v>
      </c>
      <c r="EG103" s="3">
        <f t="shared" si="193"/>
        <v>600</v>
      </c>
      <c r="EH103" s="3">
        <f t="shared" si="220"/>
        <v>600</v>
      </c>
      <c r="EI103" s="3">
        <f t="shared" si="227"/>
        <v>610.42931994522075</v>
      </c>
      <c r="EJ103" s="3">
        <f t="shared" si="221"/>
        <v>397.43946626335259</v>
      </c>
      <c r="EK103" s="3">
        <f t="shared" si="222"/>
        <v>157.8372668804264</v>
      </c>
      <c r="EL103" s="3">
        <f t="shared" si="223"/>
        <v>650</v>
      </c>
      <c r="EM103" s="3">
        <f t="shared" si="198"/>
        <v>650</v>
      </c>
      <c r="EN103" s="3">
        <f t="shared" si="177"/>
        <v>650</v>
      </c>
      <c r="EO103" s="3">
        <f t="shared" si="158"/>
        <v>650</v>
      </c>
      <c r="EP103" s="3">
        <f t="shared" si="125"/>
        <v>650</v>
      </c>
      <c r="EQ103" s="3">
        <f t="shared" si="259"/>
        <v>650</v>
      </c>
      <c r="ER103" s="3">
        <f t="shared" si="259"/>
        <v>650</v>
      </c>
      <c r="ES103" s="3">
        <f t="shared" si="259"/>
        <v>650</v>
      </c>
      <c r="ET103" s="3">
        <f t="shared" si="259"/>
        <v>650</v>
      </c>
      <c r="EU103" s="3">
        <f t="shared" si="259"/>
        <v>650</v>
      </c>
      <c r="EV103" s="3">
        <f t="shared" si="259"/>
        <v>650</v>
      </c>
      <c r="EW103" s="3">
        <f t="shared" si="259"/>
        <v>650</v>
      </c>
      <c r="EX103" s="3">
        <f t="shared" si="259"/>
        <v>650</v>
      </c>
      <c r="EY103" s="3">
        <f t="shared" si="259"/>
        <v>650</v>
      </c>
      <c r="EZ103" s="5">
        <v>26</v>
      </c>
      <c r="FA103" s="6">
        <f t="shared" si="279"/>
        <v>0.23148148148148145</v>
      </c>
    </row>
    <row r="104" spans="3:157" x14ac:dyDescent="0.3">
      <c r="C104" s="94"/>
      <c r="D104" s="95"/>
      <c r="E104" s="5">
        <v>25</v>
      </c>
      <c r="F104" s="6">
        <f t="shared" si="269"/>
        <v>0.22222222222222221</v>
      </c>
      <c r="G104" s="3">
        <f t="shared" ref="G104:O113" si="295">$R$2</f>
        <v>600</v>
      </c>
      <c r="H104" s="3">
        <f t="shared" si="295"/>
        <v>600</v>
      </c>
      <c r="I104" s="3">
        <f t="shared" si="295"/>
        <v>600</v>
      </c>
      <c r="J104" s="3">
        <f t="shared" si="295"/>
        <v>600</v>
      </c>
      <c r="K104" s="3">
        <f t="shared" si="295"/>
        <v>600</v>
      </c>
      <c r="L104" s="3">
        <f t="shared" si="295"/>
        <v>600</v>
      </c>
      <c r="M104" s="3">
        <f t="shared" si="295"/>
        <v>600</v>
      </c>
      <c r="N104" s="3">
        <f t="shared" si="295"/>
        <v>600</v>
      </c>
      <c r="O104" s="3">
        <f t="shared" si="295"/>
        <v>600</v>
      </c>
      <c r="P104" s="3">
        <f t="shared" si="87"/>
        <v>600</v>
      </c>
      <c r="Q104" s="3">
        <f t="shared" si="129"/>
        <v>600</v>
      </c>
      <c r="R104" s="3">
        <f t="shared" si="159"/>
        <v>600</v>
      </c>
      <c r="S104" s="3">
        <f t="shared" si="178"/>
        <v>600</v>
      </c>
      <c r="T104" s="3">
        <f t="shared" si="210"/>
        <v>600</v>
      </c>
      <c r="U104" s="3">
        <f t="shared" ref="U104" si="296">($F$5*$B$5*T41+$F$4*V41)/($F$4+$F$5*$B$5)</f>
        <v>610.452159876363</v>
      </c>
      <c r="V104" s="3">
        <f t="shared" si="181"/>
        <v>611.05575968475102</v>
      </c>
      <c r="W104" s="3">
        <f t="shared" ref="W104" si="297">($F$6*$B$5*X41+$F$4*V41)/($F$4+$F$6*$B$5)</f>
        <v>612.6806620968681</v>
      </c>
      <c r="X104" s="3">
        <f t="shared" si="213"/>
        <v>650</v>
      </c>
      <c r="Y104" s="3">
        <f t="shared" si="184"/>
        <v>650</v>
      </c>
      <c r="Z104" s="3">
        <f t="shared" si="165"/>
        <v>650</v>
      </c>
      <c r="AA104" s="3">
        <f t="shared" si="137"/>
        <v>650</v>
      </c>
      <c r="AB104" s="3">
        <f t="shared" si="99"/>
        <v>650</v>
      </c>
      <c r="AC104" s="3">
        <f t="shared" ref="AC104:AK113" si="298">$R$3</f>
        <v>650</v>
      </c>
      <c r="AD104" s="3">
        <f t="shared" si="298"/>
        <v>650</v>
      </c>
      <c r="AE104" s="3">
        <f t="shared" si="298"/>
        <v>650</v>
      </c>
      <c r="AF104" s="3">
        <f t="shared" si="298"/>
        <v>650</v>
      </c>
      <c r="AG104" s="3">
        <f t="shared" si="298"/>
        <v>650</v>
      </c>
      <c r="AH104" s="3">
        <f t="shared" si="298"/>
        <v>650</v>
      </c>
      <c r="AI104" s="3">
        <f t="shared" si="298"/>
        <v>650</v>
      </c>
      <c r="AJ104" s="3">
        <f t="shared" si="298"/>
        <v>650</v>
      </c>
      <c r="AK104" s="3">
        <f t="shared" si="298"/>
        <v>650</v>
      </c>
      <c r="AL104" s="5">
        <v>25</v>
      </c>
      <c r="AM104" s="6">
        <f t="shared" si="272"/>
        <v>0.22222222222222221</v>
      </c>
      <c r="AP104" s="102"/>
      <c r="AQ104" s="101"/>
      <c r="AR104" s="5">
        <v>25</v>
      </c>
      <c r="AS104" s="6">
        <f t="shared" si="273"/>
        <v>0.22222222222222221</v>
      </c>
      <c r="AT104" s="3">
        <f t="shared" ref="AT104:BB113" si="299">$R$2</f>
        <v>600</v>
      </c>
      <c r="AU104" s="3">
        <f t="shared" si="299"/>
        <v>600</v>
      </c>
      <c r="AV104" s="3">
        <f t="shared" si="299"/>
        <v>600</v>
      </c>
      <c r="AW104" s="3">
        <f t="shared" si="299"/>
        <v>600</v>
      </c>
      <c r="AX104" s="3">
        <f t="shared" si="299"/>
        <v>600</v>
      </c>
      <c r="AY104" s="3">
        <f t="shared" si="299"/>
        <v>600</v>
      </c>
      <c r="AZ104" s="3">
        <f t="shared" si="299"/>
        <v>600</v>
      </c>
      <c r="BA104" s="3">
        <f t="shared" si="299"/>
        <v>600</v>
      </c>
      <c r="BB104" s="3">
        <f t="shared" si="299"/>
        <v>600</v>
      </c>
      <c r="BC104" s="3">
        <f t="shared" si="100"/>
        <v>600</v>
      </c>
      <c r="BD104" s="3">
        <f t="shared" si="138"/>
        <v>600</v>
      </c>
      <c r="BE104" s="3">
        <f t="shared" si="166"/>
        <v>600</v>
      </c>
      <c r="BF104" s="3">
        <f t="shared" si="185"/>
        <v>600</v>
      </c>
      <c r="BG104" s="66">
        <f t="shared" si="214"/>
        <v>600</v>
      </c>
      <c r="BH104" s="69"/>
      <c r="BI104" s="70">
        <f t="shared" si="215"/>
        <v>-2192476398.8906741</v>
      </c>
      <c r="BJ104" s="69"/>
      <c r="BK104" s="23">
        <f t="shared" si="216"/>
        <v>650</v>
      </c>
      <c r="BL104" s="3">
        <f t="shared" si="189"/>
        <v>650</v>
      </c>
      <c r="BM104" s="3">
        <f t="shared" si="167"/>
        <v>650</v>
      </c>
      <c r="BN104" s="3">
        <f t="shared" si="146"/>
        <v>650</v>
      </c>
      <c r="BO104" s="3">
        <f t="shared" si="110"/>
        <v>650</v>
      </c>
      <c r="BP104" s="3">
        <f t="shared" ref="BP104:BX113" si="300">$R$3</f>
        <v>650</v>
      </c>
      <c r="BQ104" s="3">
        <f t="shared" si="300"/>
        <v>650</v>
      </c>
      <c r="BR104" s="3">
        <f t="shared" si="300"/>
        <v>650</v>
      </c>
      <c r="BS104" s="3">
        <f t="shared" si="300"/>
        <v>650</v>
      </c>
      <c r="BT104" s="3">
        <f t="shared" si="300"/>
        <v>650</v>
      </c>
      <c r="BU104" s="3">
        <f t="shared" si="300"/>
        <v>650</v>
      </c>
      <c r="BV104" s="3">
        <f t="shared" si="300"/>
        <v>650</v>
      </c>
      <c r="BW104" s="3">
        <f t="shared" si="300"/>
        <v>650</v>
      </c>
      <c r="BX104" s="3">
        <f t="shared" si="300"/>
        <v>650</v>
      </c>
      <c r="BY104" s="5">
        <v>25</v>
      </c>
      <c r="BZ104" s="6">
        <f t="shared" si="274"/>
        <v>0.22222222222222221</v>
      </c>
      <c r="CC104" s="94"/>
      <c r="CD104" s="95"/>
      <c r="CE104" s="5">
        <v>25</v>
      </c>
      <c r="CF104" s="6">
        <f t="shared" si="275"/>
        <v>0.22222222222222221</v>
      </c>
      <c r="CG104" s="3">
        <f t="shared" ref="CG104:CO113" si="301">$R$2</f>
        <v>600</v>
      </c>
      <c r="CH104" s="3">
        <f t="shared" si="301"/>
        <v>600</v>
      </c>
      <c r="CI104" s="3">
        <f t="shared" si="301"/>
        <v>600</v>
      </c>
      <c r="CJ104" s="3">
        <f t="shared" si="301"/>
        <v>600</v>
      </c>
      <c r="CK104" s="3">
        <f t="shared" si="301"/>
        <v>600</v>
      </c>
      <c r="CL104" s="3">
        <f t="shared" si="301"/>
        <v>600</v>
      </c>
      <c r="CM104" s="3">
        <f t="shared" si="301"/>
        <v>600</v>
      </c>
      <c r="CN104" s="3">
        <f t="shared" si="301"/>
        <v>600</v>
      </c>
      <c r="CO104" s="3">
        <f t="shared" si="301"/>
        <v>600</v>
      </c>
      <c r="CP104" s="3">
        <f t="shared" si="111"/>
        <v>600</v>
      </c>
      <c r="CQ104" s="3">
        <f t="shared" si="147"/>
        <v>600</v>
      </c>
      <c r="CR104" s="3">
        <f t="shared" si="168"/>
        <v>600</v>
      </c>
      <c r="CS104" s="3">
        <f t="shared" si="190"/>
        <v>600</v>
      </c>
      <c r="CT104" s="3">
        <f t="shared" si="217"/>
        <v>600</v>
      </c>
      <c r="CU104" s="3">
        <f t="shared" ref="CU104:CW104" si="302">$L$2/($L$3-$L$4*CT104)</f>
        <v>-1.6746678575415876E-3</v>
      </c>
      <c r="CV104" s="3">
        <f t="shared" si="302"/>
        <v>0.34863354230673421</v>
      </c>
      <c r="CW104" s="3">
        <f t="shared" si="302"/>
        <v>0.39713536344133415</v>
      </c>
      <c r="CX104" s="3">
        <f t="shared" si="219"/>
        <v>650</v>
      </c>
      <c r="CY104" s="3">
        <f t="shared" si="192"/>
        <v>650</v>
      </c>
      <c r="CZ104" s="3">
        <f t="shared" si="169"/>
        <v>650</v>
      </c>
      <c r="DA104" s="3">
        <f t="shared" si="148"/>
        <v>650</v>
      </c>
      <c r="DB104" s="3">
        <f t="shared" si="113"/>
        <v>650</v>
      </c>
      <c r="DC104" s="3">
        <f t="shared" ref="DC104:DK113" si="303">$R$3</f>
        <v>650</v>
      </c>
      <c r="DD104" s="3">
        <f t="shared" si="303"/>
        <v>650</v>
      </c>
      <c r="DE104" s="3">
        <f t="shared" si="303"/>
        <v>650</v>
      </c>
      <c r="DF104" s="3">
        <f t="shared" si="303"/>
        <v>650</v>
      </c>
      <c r="DG104" s="3">
        <f t="shared" si="303"/>
        <v>650</v>
      </c>
      <c r="DH104" s="3">
        <f t="shared" si="303"/>
        <v>650</v>
      </c>
      <c r="DI104" s="3">
        <f t="shared" si="303"/>
        <v>650</v>
      </c>
      <c r="DJ104" s="3">
        <f t="shared" si="303"/>
        <v>650</v>
      </c>
      <c r="DK104" s="3">
        <f t="shared" si="303"/>
        <v>650</v>
      </c>
      <c r="DL104" s="5">
        <v>25</v>
      </c>
      <c r="DM104" s="6">
        <f t="shared" si="277"/>
        <v>0.22222222222222221</v>
      </c>
      <c r="DQ104" s="94"/>
      <c r="DR104" s="95"/>
      <c r="DS104" s="5">
        <v>25</v>
      </c>
      <c r="DT104" s="6">
        <f t="shared" si="278"/>
        <v>0.22222222222222221</v>
      </c>
      <c r="DU104" s="3">
        <f t="shared" ref="DU104:EC113" si="304">$R$2</f>
        <v>600</v>
      </c>
      <c r="DV104" s="3">
        <f t="shared" si="304"/>
        <v>600</v>
      </c>
      <c r="DW104" s="3">
        <f t="shared" si="304"/>
        <v>600</v>
      </c>
      <c r="DX104" s="3">
        <f t="shared" si="304"/>
        <v>600</v>
      </c>
      <c r="DY104" s="3">
        <f t="shared" si="304"/>
        <v>600</v>
      </c>
      <c r="DZ104" s="3">
        <f t="shared" si="304"/>
        <v>600</v>
      </c>
      <c r="EA104" s="3">
        <f t="shared" si="304"/>
        <v>600</v>
      </c>
      <c r="EB104" s="3">
        <f t="shared" si="304"/>
        <v>600</v>
      </c>
      <c r="EC104" s="3">
        <f t="shared" si="304"/>
        <v>600</v>
      </c>
      <c r="ED104" s="3">
        <f t="shared" si="114"/>
        <v>600</v>
      </c>
      <c r="EE104" s="3">
        <f t="shared" si="149"/>
        <v>600</v>
      </c>
      <c r="EF104" s="3">
        <f t="shared" si="170"/>
        <v>600</v>
      </c>
      <c r="EG104" s="3">
        <f t="shared" si="193"/>
        <v>600</v>
      </c>
      <c r="EH104" s="3">
        <f t="shared" si="220"/>
        <v>600</v>
      </c>
      <c r="EI104" s="3">
        <f t="shared" si="227"/>
        <v>610.452159876363</v>
      </c>
      <c r="EJ104" s="3">
        <f t="shared" si="221"/>
        <v>397.45473015508463</v>
      </c>
      <c r="EK104" s="3">
        <f t="shared" si="222"/>
        <v>157.84332871161695</v>
      </c>
      <c r="EL104" s="3">
        <f t="shared" si="223"/>
        <v>650</v>
      </c>
      <c r="EM104" s="3">
        <f t="shared" si="198"/>
        <v>650</v>
      </c>
      <c r="EN104" s="3">
        <f t="shared" si="177"/>
        <v>650</v>
      </c>
      <c r="EO104" s="3">
        <f t="shared" si="158"/>
        <v>650</v>
      </c>
      <c r="EP104" s="3">
        <f t="shared" si="125"/>
        <v>650</v>
      </c>
      <c r="EQ104" s="3">
        <f t="shared" ref="EQ104:EY113" si="305">$R$3</f>
        <v>650</v>
      </c>
      <c r="ER104" s="3">
        <f t="shared" si="305"/>
        <v>650</v>
      </c>
      <c r="ES104" s="3">
        <f t="shared" si="305"/>
        <v>650</v>
      </c>
      <c r="ET104" s="3">
        <f t="shared" si="305"/>
        <v>650</v>
      </c>
      <c r="EU104" s="3">
        <f t="shared" si="305"/>
        <v>650</v>
      </c>
      <c r="EV104" s="3">
        <f t="shared" si="305"/>
        <v>650</v>
      </c>
      <c r="EW104" s="3">
        <f t="shared" si="305"/>
        <v>650</v>
      </c>
      <c r="EX104" s="3">
        <f t="shared" si="305"/>
        <v>650</v>
      </c>
      <c r="EY104" s="3">
        <f t="shared" si="305"/>
        <v>650</v>
      </c>
      <c r="EZ104" s="5">
        <v>25</v>
      </c>
      <c r="FA104" s="6">
        <f t="shared" si="279"/>
        <v>0.22222222222222221</v>
      </c>
    </row>
    <row r="105" spans="3:157" ht="15" customHeight="1" x14ac:dyDescent="0.3">
      <c r="C105" s="94"/>
      <c r="D105" s="95"/>
      <c r="E105" s="5">
        <v>24</v>
      </c>
      <c r="F105" s="6">
        <f t="shared" si="269"/>
        <v>0.21296296296296297</v>
      </c>
      <c r="G105" s="3">
        <f t="shared" si="295"/>
        <v>600</v>
      </c>
      <c r="H105" s="3">
        <f t="shared" si="295"/>
        <v>600</v>
      </c>
      <c r="I105" s="3">
        <f t="shared" si="295"/>
        <v>600</v>
      </c>
      <c r="J105" s="3">
        <f t="shared" si="295"/>
        <v>600</v>
      </c>
      <c r="K105" s="3">
        <f t="shared" si="295"/>
        <v>600</v>
      </c>
      <c r="L105" s="3">
        <f t="shared" si="295"/>
        <v>600</v>
      </c>
      <c r="M105" s="3">
        <f t="shared" si="295"/>
        <v>600</v>
      </c>
      <c r="N105" s="3">
        <f t="shared" si="295"/>
        <v>600</v>
      </c>
      <c r="O105" s="3">
        <f t="shared" si="295"/>
        <v>600</v>
      </c>
      <c r="P105" s="3">
        <f t="shared" si="87"/>
        <v>600</v>
      </c>
      <c r="Q105" s="3">
        <f t="shared" si="129"/>
        <v>600</v>
      </c>
      <c r="R105" s="3">
        <f t="shared" si="159"/>
        <v>600</v>
      </c>
      <c r="S105" s="3">
        <f t="shared" si="178"/>
        <v>600</v>
      </c>
      <c r="T105" s="3">
        <f t="shared" si="210"/>
        <v>600</v>
      </c>
      <c r="U105" s="3">
        <f t="shared" ref="U105" si="306">($F$5*$B$5*T42+$F$4*V42)/($F$4+$F$5*$B$5)</f>
        <v>610.49055163958838</v>
      </c>
      <c r="V105" s="3">
        <f t="shared" si="181"/>
        <v>611.09498739695732</v>
      </c>
      <c r="W105" s="3">
        <f t="shared" ref="W105" si="307">($F$6*$B$5*X42+$F$4*V42)/($F$4+$F$6*$B$5)</f>
        <v>612.71958707902706</v>
      </c>
      <c r="X105" s="3">
        <f t="shared" si="213"/>
        <v>650</v>
      </c>
      <c r="Y105" s="3">
        <f t="shared" si="184"/>
        <v>650</v>
      </c>
      <c r="Z105" s="3">
        <f t="shared" si="165"/>
        <v>650</v>
      </c>
      <c r="AA105" s="3">
        <f t="shared" si="137"/>
        <v>650</v>
      </c>
      <c r="AB105" s="3">
        <f t="shared" si="99"/>
        <v>650</v>
      </c>
      <c r="AC105" s="3">
        <f t="shared" si="298"/>
        <v>650</v>
      </c>
      <c r="AD105" s="3">
        <f t="shared" si="298"/>
        <v>650</v>
      </c>
      <c r="AE105" s="3">
        <f t="shared" si="298"/>
        <v>650</v>
      </c>
      <c r="AF105" s="3">
        <f t="shared" si="298"/>
        <v>650</v>
      </c>
      <c r="AG105" s="3">
        <f t="shared" si="298"/>
        <v>650</v>
      </c>
      <c r="AH105" s="3">
        <f t="shared" si="298"/>
        <v>650</v>
      </c>
      <c r="AI105" s="3">
        <f t="shared" si="298"/>
        <v>650</v>
      </c>
      <c r="AJ105" s="3">
        <f t="shared" si="298"/>
        <v>650</v>
      </c>
      <c r="AK105" s="3">
        <f t="shared" si="298"/>
        <v>650</v>
      </c>
      <c r="AL105" s="5">
        <v>24</v>
      </c>
      <c r="AM105" s="6">
        <f t="shared" si="272"/>
        <v>0.21296296296296297</v>
      </c>
      <c r="AP105" s="102"/>
      <c r="AQ105" s="101"/>
      <c r="AR105" s="5">
        <v>24</v>
      </c>
      <c r="AS105" s="6">
        <f t="shared" si="273"/>
        <v>0.21296296296296297</v>
      </c>
      <c r="AT105" s="3">
        <f t="shared" si="299"/>
        <v>600</v>
      </c>
      <c r="AU105" s="3">
        <f t="shared" si="299"/>
        <v>600</v>
      </c>
      <c r="AV105" s="3">
        <f t="shared" si="299"/>
        <v>600</v>
      </c>
      <c r="AW105" s="3">
        <f t="shared" si="299"/>
        <v>600</v>
      </c>
      <c r="AX105" s="3">
        <f t="shared" si="299"/>
        <v>600</v>
      </c>
      <c r="AY105" s="3">
        <f t="shared" si="299"/>
        <v>600</v>
      </c>
      <c r="AZ105" s="3">
        <f t="shared" si="299"/>
        <v>600</v>
      </c>
      <c r="BA105" s="3">
        <f t="shared" si="299"/>
        <v>600</v>
      </c>
      <c r="BB105" s="3">
        <f t="shared" si="299"/>
        <v>600</v>
      </c>
      <c r="BC105" s="3">
        <f t="shared" si="100"/>
        <v>600</v>
      </c>
      <c r="BD105" s="3">
        <f t="shared" si="138"/>
        <v>600</v>
      </c>
      <c r="BE105" s="3">
        <f t="shared" si="166"/>
        <v>600</v>
      </c>
      <c r="BF105" s="3">
        <f t="shared" si="185"/>
        <v>600</v>
      </c>
      <c r="BG105" s="66">
        <f t="shared" si="214"/>
        <v>600</v>
      </c>
      <c r="BH105" s="69"/>
      <c r="BI105" s="70">
        <f t="shared" si="215"/>
        <v>-2192622134.0238771</v>
      </c>
      <c r="BJ105" s="69"/>
      <c r="BK105" s="23">
        <f t="shared" si="216"/>
        <v>650</v>
      </c>
      <c r="BL105" s="3">
        <f t="shared" si="189"/>
        <v>650</v>
      </c>
      <c r="BM105" s="3">
        <f t="shared" si="167"/>
        <v>650</v>
      </c>
      <c r="BN105" s="3">
        <f t="shared" si="146"/>
        <v>650</v>
      </c>
      <c r="BO105" s="3">
        <f t="shared" si="110"/>
        <v>650</v>
      </c>
      <c r="BP105" s="3">
        <f t="shared" si="300"/>
        <v>650</v>
      </c>
      <c r="BQ105" s="3">
        <f t="shared" si="300"/>
        <v>650</v>
      </c>
      <c r="BR105" s="3">
        <f t="shared" si="300"/>
        <v>650</v>
      </c>
      <c r="BS105" s="3">
        <f t="shared" si="300"/>
        <v>650</v>
      </c>
      <c r="BT105" s="3">
        <f t="shared" si="300"/>
        <v>650</v>
      </c>
      <c r="BU105" s="3">
        <f t="shared" si="300"/>
        <v>650</v>
      </c>
      <c r="BV105" s="3">
        <f t="shared" si="300"/>
        <v>650</v>
      </c>
      <c r="BW105" s="3">
        <f t="shared" si="300"/>
        <v>650</v>
      </c>
      <c r="BX105" s="3">
        <f t="shared" si="300"/>
        <v>650</v>
      </c>
      <c r="BY105" s="5">
        <v>24</v>
      </c>
      <c r="BZ105" s="6">
        <f t="shared" si="274"/>
        <v>0.21296296296296297</v>
      </c>
      <c r="CC105" s="94"/>
      <c r="CD105" s="95"/>
      <c r="CE105" s="5">
        <v>24</v>
      </c>
      <c r="CF105" s="6">
        <f t="shared" si="275"/>
        <v>0.21296296296296297</v>
      </c>
      <c r="CG105" s="3">
        <f t="shared" si="301"/>
        <v>600</v>
      </c>
      <c r="CH105" s="3">
        <f t="shared" si="301"/>
        <v>600</v>
      </c>
      <c r="CI105" s="3">
        <f t="shared" si="301"/>
        <v>600</v>
      </c>
      <c r="CJ105" s="3">
        <f t="shared" si="301"/>
        <v>600</v>
      </c>
      <c r="CK105" s="3">
        <f t="shared" si="301"/>
        <v>600</v>
      </c>
      <c r="CL105" s="3">
        <f t="shared" si="301"/>
        <v>600</v>
      </c>
      <c r="CM105" s="3">
        <f t="shared" si="301"/>
        <v>600</v>
      </c>
      <c r="CN105" s="3">
        <f t="shared" si="301"/>
        <v>600</v>
      </c>
      <c r="CO105" s="3">
        <f t="shared" si="301"/>
        <v>600</v>
      </c>
      <c r="CP105" s="3">
        <f t="shared" si="111"/>
        <v>600</v>
      </c>
      <c r="CQ105" s="3">
        <f t="shared" si="147"/>
        <v>600</v>
      </c>
      <c r="CR105" s="3">
        <f t="shared" si="168"/>
        <v>600</v>
      </c>
      <c r="CS105" s="3">
        <f t="shared" si="190"/>
        <v>600</v>
      </c>
      <c r="CT105" s="3">
        <f t="shared" si="217"/>
        <v>600</v>
      </c>
      <c r="CU105" s="3">
        <f t="shared" ref="CU105:CW105" si="308">$L$2/($L$3-$L$4*CT105)</f>
        <v>-1.6746678575415876E-3</v>
      </c>
      <c r="CV105" s="3">
        <f t="shared" si="308"/>
        <v>0.34863354230673421</v>
      </c>
      <c r="CW105" s="3">
        <f t="shared" si="308"/>
        <v>0.39713536344133415</v>
      </c>
      <c r="CX105" s="3">
        <f t="shared" si="219"/>
        <v>650</v>
      </c>
      <c r="CY105" s="3">
        <f t="shared" si="192"/>
        <v>650</v>
      </c>
      <c r="CZ105" s="3">
        <f t="shared" si="169"/>
        <v>650</v>
      </c>
      <c r="DA105" s="3">
        <f t="shared" si="148"/>
        <v>650</v>
      </c>
      <c r="DB105" s="3">
        <f t="shared" si="113"/>
        <v>650</v>
      </c>
      <c r="DC105" s="3">
        <f t="shared" si="303"/>
        <v>650</v>
      </c>
      <c r="DD105" s="3">
        <f t="shared" si="303"/>
        <v>650</v>
      </c>
      <c r="DE105" s="3">
        <f t="shared" si="303"/>
        <v>650</v>
      </c>
      <c r="DF105" s="3">
        <f t="shared" si="303"/>
        <v>650</v>
      </c>
      <c r="DG105" s="3">
        <f t="shared" si="303"/>
        <v>650</v>
      </c>
      <c r="DH105" s="3">
        <f t="shared" si="303"/>
        <v>650</v>
      </c>
      <c r="DI105" s="3">
        <f t="shared" si="303"/>
        <v>650</v>
      </c>
      <c r="DJ105" s="3">
        <f t="shared" si="303"/>
        <v>650</v>
      </c>
      <c r="DK105" s="3">
        <f t="shared" si="303"/>
        <v>650</v>
      </c>
      <c r="DL105" s="5">
        <v>24</v>
      </c>
      <c r="DM105" s="6">
        <f t="shared" si="277"/>
        <v>0.21296296296296297</v>
      </c>
      <c r="DQ105" s="94"/>
      <c r="DR105" s="95"/>
      <c r="DS105" s="5">
        <v>24</v>
      </c>
      <c r="DT105" s="6">
        <f t="shared" si="278"/>
        <v>0.21296296296296297</v>
      </c>
      <c r="DU105" s="3">
        <f t="shared" si="304"/>
        <v>600</v>
      </c>
      <c r="DV105" s="3">
        <f t="shared" si="304"/>
        <v>600</v>
      </c>
      <c r="DW105" s="3">
        <f t="shared" si="304"/>
        <v>600</v>
      </c>
      <c r="DX105" s="3">
        <f t="shared" si="304"/>
        <v>600</v>
      </c>
      <c r="DY105" s="3">
        <f t="shared" si="304"/>
        <v>600</v>
      </c>
      <c r="DZ105" s="3">
        <f t="shared" si="304"/>
        <v>600</v>
      </c>
      <c r="EA105" s="3">
        <f t="shared" si="304"/>
        <v>600</v>
      </c>
      <c r="EB105" s="3">
        <f t="shared" si="304"/>
        <v>600</v>
      </c>
      <c r="EC105" s="3">
        <f t="shared" si="304"/>
        <v>600</v>
      </c>
      <c r="ED105" s="3">
        <f t="shared" si="114"/>
        <v>600</v>
      </c>
      <c r="EE105" s="3">
        <f t="shared" si="149"/>
        <v>600</v>
      </c>
      <c r="EF105" s="3">
        <f t="shared" si="170"/>
        <v>600</v>
      </c>
      <c r="EG105" s="3">
        <f t="shared" si="193"/>
        <v>600</v>
      </c>
      <c r="EH105" s="3">
        <f t="shared" si="220"/>
        <v>600</v>
      </c>
      <c r="EI105" s="3">
        <f t="shared" si="227"/>
        <v>610.49055163958838</v>
      </c>
      <c r="EJ105" s="3">
        <f t="shared" si="221"/>
        <v>397.48038731287664</v>
      </c>
      <c r="EK105" s="3">
        <f t="shared" si="222"/>
        <v>157.85351807630153</v>
      </c>
      <c r="EL105" s="3">
        <f t="shared" si="223"/>
        <v>650</v>
      </c>
      <c r="EM105" s="3">
        <f t="shared" si="198"/>
        <v>650</v>
      </c>
      <c r="EN105" s="3">
        <f t="shared" si="177"/>
        <v>650</v>
      </c>
      <c r="EO105" s="3">
        <f t="shared" si="158"/>
        <v>650</v>
      </c>
      <c r="EP105" s="3">
        <f t="shared" si="125"/>
        <v>650</v>
      </c>
      <c r="EQ105" s="3">
        <f t="shared" si="305"/>
        <v>650</v>
      </c>
      <c r="ER105" s="3">
        <f t="shared" si="305"/>
        <v>650</v>
      </c>
      <c r="ES105" s="3">
        <f t="shared" si="305"/>
        <v>650</v>
      </c>
      <c r="ET105" s="3">
        <f t="shared" si="305"/>
        <v>650</v>
      </c>
      <c r="EU105" s="3">
        <f t="shared" si="305"/>
        <v>650</v>
      </c>
      <c r="EV105" s="3">
        <f t="shared" si="305"/>
        <v>650</v>
      </c>
      <c r="EW105" s="3">
        <f t="shared" si="305"/>
        <v>650</v>
      </c>
      <c r="EX105" s="3">
        <f t="shared" si="305"/>
        <v>650</v>
      </c>
      <c r="EY105" s="3">
        <f t="shared" si="305"/>
        <v>650</v>
      </c>
      <c r="EZ105" s="5">
        <v>24</v>
      </c>
      <c r="FA105" s="6">
        <f t="shared" si="279"/>
        <v>0.21296296296296297</v>
      </c>
    </row>
    <row r="106" spans="3:157" ht="15" customHeight="1" x14ac:dyDescent="0.3">
      <c r="C106" s="94"/>
      <c r="D106" s="95"/>
      <c r="E106" s="5">
        <v>23</v>
      </c>
      <c r="F106" s="6">
        <f t="shared" si="269"/>
        <v>0.20370370370370369</v>
      </c>
      <c r="G106" s="3">
        <f t="shared" si="295"/>
        <v>600</v>
      </c>
      <c r="H106" s="3">
        <f t="shared" si="295"/>
        <v>600</v>
      </c>
      <c r="I106" s="3">
        <f t="shared" si="295"/>
        <v>600</v>
      </c>
      <c r="J106" s="3">
        <f t="shared" si="295"/>
        <v>600</v>
      </c>
      <c r="K106" s="3">
        <f t="shared" si="295"/>
        <v>600</v>
      </c>
      <c r="L106" s="3">
        <f t="shared" si="295"/>
        <v>600</v>
      </c>
      <c r="M106" s="3">
        <f t="shared" si="295"/>
        <v>600</v>
      </c>
      <c r="N106" s="3">
        <f t="shared" si="295"/>
        <v>600</v>
      </c>
      <c r="O106" s="3">
        <f t="shared" si="295"/>
        <v>600</v>
      </c>
      <c r="P106" s="3">
        <f t="shared" si="87"/>
        <v>600</v>
      </c>
      <c r="Q106" s="3">
        <f t="shared" si="129"/>
        <v>600</v>
      </c>
      <c r="R106" s="3">
        <f t="shared" si="159"/>
        <v>600</v>
      </c>
      <c r="S106" s="3">
        <f t="shared" si="178"/>
        <v>600</v>
      </c>
      <c r="T106" s="3">
        <f t="shared" si="210"/>
        <v>600</v>
      </c>
      <c r="U106" s="3">
        <f t="shared" ref="U106" si="309">($F$5*$B$5*T43+$F$4*V43)/($F$4+$F$5*$B$5)</f>
        <v>610.5537405458258</v>
      </c>
      <c r="V106" s="3">
        <f t="shared" si="181"/>
        <v>611.15955218951376</v>
      </c>
      <c r="W106" s="3">
        <f t="shared" ref="W106" si="310">($F$6*$B$5*X43+$F$4*V43)/($F$4+$F$6*$B$5)</f>
        <v>612.78365360896225</v>
      </c>
      <c r="X106" s="3">
        <f t="shared" si="213"/>
        <v>650</v>
      </c>
      <c r="Y106" s="3">
        <f t="shared" si="184"/>
        <v>650</v>
      </c>
      <c r="Z106" s="3">
        <f t="shared" si="165"/>
        <v>650</v>
      </c>
      <c r="AA106" s="3">
        <f t="shared" si="137"/>
        <v>650</v>
      </c>
      <c r="AB106" s="3">
        <f t="shared" si="99"/>
        <v>650</v>
      </c>
      <c r="AC106" s="3">
        <f t="shared" si="298"/>
        <v>650</v>
      </c>
      <c r="AD106" s="3">
        <f t="shared" si="298"/>
        <v>650</v>
      </c>
      <c r="AE106" s="3">
        <f t="shared" si="298"/>
        <v>650</v>
      </c>
      <c r="AF106" s="3">
        <f t="shared" si="298"/>
        <v>650</v>
      </c>
      <c r="AG106" s="3">
        <f t="shared" si="298"/>
        <v>650</v>
      </c>
      <c r="AH106" s="3">
        <f t="shared" si="298"/>
        <v>650</v>
      </c>
      <c r="AI106" s="3">
        <f t="shared" si="298"/>
        <v>650</v>
      </c>
      <c r="AJ106" s="3">
        <f t="shared" si="298"/>
        <v>650</v>
      </c>
      <c r="AK106" s="3">
        <f t="shared" si="298"/>
        <v>650</v>
      </c>
      <c r="AL106" s="5">
        <v>23</v>
      </c>
      <c r="AM106" s="6">
        <f t="shared" si="272"/>
        <v>0.20370370370370369</v>
      </c>
      <c r="AP106" s="102"/>
      <c r="AQ106" s="101"/>
      <c r="AR106" s="5">
        <v>23</v>
      </c>
      <c r="AS106" s="6">
        <f t="shared" si="273"/>
        <v>0.20370370370370369</v>
      </c>
      <c r="AT106" s="3">
        <f t="shared" si="299"/>
        <v>600</v>
      </c>
      <c r="AU106" s="3">
        <f t="shared" si="299"/>
        <v>600</v>
      </c>
      <c r="AV106" s="3">
        <f t="shared" si="299"/>
        <v>600</v>
      </c>
      <c r="AW106" s="3">
        <f t="shared" si="299"/>
        <v>600</v>
      </c>
      <c r="AX106" s="3">
        <f t="shared" si="299"/>
        <v>600</v>
      </c>
      <c r="AY106" s="3">
        <f t="shared" si="299"/>
        <v>600</v>
      </c>
      <c r="AZ106" s="3">
        <f t="shared" si="299"/>
        <v>600</v>
      </c>
      <c r="BA106" s="3">
        <f t="shared" si="299"/>
        <v>600</v>
      </c>
      <c r="BB106" s="3">
        <f t="shared" si="299"/>
        <v>600</v>
      </c>
      <c r="BC106" s="3">
        <f t="shared" si="100"/>
        <v>600</v>
      </c>
      <c r="BD106" s="3">
        <f t="shared" si="138"/>
        <v>600</v>
      </c>
      <c r="BE106" s="3">
        <f t="shared" si="166"/>
        <v>600</v>
      </c>
      <c r="BF106" s="3">
        <f t="shared" si="185"/>
        <v>600</v>
      </c>
      <c r="BG106" s="66">
        <f t="shared" si="214"/>
        <v>600</v>
      </c>
      <c r="BH106" s="69"/>
      <c r="BI106" s="70">
        <f t="shared" si="215"/>
        <v>-2192861999.1119547</v>
      </c>
      <c r="BJ106" s="69"/>
      <c r="BK106" s="23">
        <f t="shared" si="216"/>
        <v>650</v>
      </c>
      <c r="BL106" s="3">
        <f t="shared" si="189"/>
        <v>650</v>
      </c>
      <c r="BM106" s="3">
        <f t="shared" si="167"/>
        <v>650</v>
      </c>
      <c r="BN106" s="3">
        <f t="shared" si="146"/>
        <v>650</v>
      </c>
      <c r="BO106" s="3">
        <f t="shared" si="110"/>
        <v>650</v>
      </c>
      <c r="BP106" s="3">
        <f t="shared" si="300"/>
        <v>650</v>
      </c>
      <c r="BQ106" s="3">
        <f t="shared" si="300"/>
        <v>650</v>
      </c>
      <c r="BR106" s="3">
        <f t="shared" si="300"/>
        <v>650</v>
      </c>
      <c r="BS106" s="3">
        <f t="shared" si="300"/>
        <v>650</v>
      </c>
      <c r="BT106" s="3">
        <f t="shared" si="300"/>
        <v>650</v>
      </c>
      <c r="BU106" s="3">
        <f t="shared" si="300"/>
        <v>650</v>
      </c>
      <c r="BV106" s="3">
        <f t="shared" si="300"/>
        <v>650</v>
      </c>
      <c r="BW106" s="3">
        <f t="shared" si="300"/>
        <v>650</v>
      </c>
      <c r="BX106" s="3">
        <f t="shared" si="300"/>
        <v>650</v>
      </c>
      <c r="BY106" s="5">
        <v>23</v>
      </c>
      <c r="BZ106" s="6">
        <f t="shared" si="274"/>
        <v>0.20370370370370369</v>
      </c>
      <c r="CC106" s="94"/>
      <c r="CD106" s="95"/>
      <c r="CE106" s="5">
        <v>23</v>
      </c>
      <c r="CF106" s="6">
        <f t="shared" si="275"/>
        <v>0.20370370370370369</v>
      </c>
      <c r="CG106" s="3">
        <f t="shared" si="301"/>
        <v>600</v>
      </c>
      <c r="CH106" s="3">
        <f t="shared" si="301"/>
        <v>600</v>
      </c>
      <c r="CI106" s="3">
        <f t="shared" si="301"/>
        <v>600</v>
      </c>
      <c r="CJ106" s="3">
        <f t="shared" si="301"/>
        <v>600</v>
      </c>
      <c r="CK106" s="3">
        <f t="shared" si="301"/>
        <v>600</v>
      </c>
      <c r="CL106" s="3">
        <f t="shared" si="301"/>
        <v>600</v>
      </c>
      <c r="CM106" s="3">
        <f t="shared" si="301"/>
        <v>600</v>
      </c>
      <c r="CN106" s="3">
        <f t="shared" si="301"/>
        <v>600</v>
      </c>
      <c r="CO106" s="3">
        <f t="shared" si="301"/>
        <v>600</v>
      </c>
      <c r="CP106" s="3">
        <f t="shared" si="111"/>
        <v>600</v>
      </c>
      <c r="CQ106" s="3">
        <f t="shared" si="147"/>
        <v>600</v>
      </c>
      <c r="CR106" s="3">
        <f t="shared" si="168"/>
        <v>600</v>
      </c>
      <c r="CS106" s="3">
        <f t="shared" si="190"/>
        <v>600</v>
      </c>
      <c r="CT106" s="3">
        <f t="shared" si="217"/>
        <v>600</v>
      </c>
      <c r="CU106" s="3">
        <f t="shared" ref="CU106:CW106" si="311">$L$2/($L$3-$L$4*CT106)</f>
        <v>-1.6746678575415876E-3</v>
      </c>
      <c r="CV106" s="3">
        <f t="shared" si="311"/>
        <v>0.34863354230673421</v>
      </c>
      <c r="CW106" s="3">
        <f t="shared" si="311"/>
        <v>0.39713536344133415</v>
      </c>
      <c r="CX106" s="3">
        <f t="shared" si="219"/>
        <v>650</v>
      </c>
      <c r="CY106" s="3">
        <f t="shared" si="192"/>
        <v>650</v>
      </c>
      <c r="CZ106" s="3">
        <f t="shared" si="169"/>
        <v>650</v>
      </c>
      <c r="DA106" s="3">
        <f t="shared" si="148"/>
        <v>650</v>
      </c>
      <c r="DB106" s="3">
        <f t="shared" si="113"/>
        <v>650</v>
      </c>
      <c r="DC106" s="3">
        <f t="shared" si="303"/>
        <v>650</v>
      </c>
      <c r="DD106" s="3">
        <f t="shared" si="303"/>
        <v>650</v>
      </c>
      <c r="DE106" s="3">
        <f t="shared" si="303"/>
        <v>650</v>
      </c>
      <c r="DF106" s="3">
        <f t="shared" si="303"/>
        <v>650</v>
      </c>
      <c r="DG106" s="3">
        <f t="shared" si="303"/>
        <v>650</v>
      </c>
      <c r="DH106" s="3">
        <f t="shared" si="303"/>
        <v>650</v>
      </c>
      <c r="DI106" s="3">
        <f t="shared" si="303"/>
        <v>650</v>
      </c>
      <c r="DJ106" s="3">
        <f t="shared" si="303"/>
        <v>650</v>
      </c>
      <c r="DK106" s="3">
        <f t="shared" si="303"/>
        <v>650</v>
      </c>
      <c r="DL106" s="5">
        <v>23</v>
      </c>
      <c r="DM106" s="6">
        <f t="shared" si="277"/>
        <v>0.20370370370370369</v>
      </c>
      <c r="DQ106" s="94"/>
      <c r="DR106" s="95"/>
      <c r="DS106" s="5">
        <v>23</v>
      </c>
      <c r="DT106" s="6">
        <f t="shared" si="278"/>
        <v>0.20370370370370369</v>
      </c>
      <c r="DU106" s="3">
        <f t="shared" si="304"/>
        <v>600</v>
      </c>
      <c r="DV106" s="3">
        <f t="shared" si="304"/>
        <v>600</v>
      </c>
      <c r="DW106" s="3">
        <f t="shared" si="304"/>
        <v>600</v>
      </c>
      <c r="DX106" s="3">
        <f t="shared" si="304"/>
        <v>600</v>
      </c>
      <c r="DY106" s="3">
        <f t="shared" si="304"/>
        <v>600</v>
      </c>
      <c r="DZ106" s="3">
        <f t="shared" si="304"/>
        <v>600</v>
      </c>
      <c r="EA106" s="3">
        <f t="shared" si="304"/>
        <v>600</v>
      </c>
      <c r="EB106" s="3">
        <f t="shared" si="304"/>
        <v>600</v>
      </c>
      <c r="EC106" s="3">
        <f t="shared" si="304"/>
        <v>600</v>
      </c>
      <c r="ED106" s="3">
        <f t="shared" si="114"/>
        <v>600</v>
      </c>
      <c r="EE106" s="3">
        <f t="shared" si="149"/>
        <v>600</v>
      </c>
      <c r="EF106" s="3">
        <f t="shared" si="170"/>
        <v>600</v>
      </c>
      <c r="EG106" s="3">
        <f t="shared" si="193"/>
        <v>600</v>
      </c>
      <c r="EH106" s="3">
        <f t="shared" si="220"/>
        <v>600</v>
      </c>
      <c r="EI106" s="3">
        <f t="shared" si="227"/>
        <v>610.5537405458258</v>
      </c>
      <c r="EJ106" s="3">
        <f t="shared" si="221"/>
        <v>397.52261636415847</v>
      </c>
      <c r="EK106" s="3">
        <f t="shared" si="222"/>
        <v>157.87028872593012</v>
      </c>
      <c r="EL106" s="3">
        <f t="shared" si="223"/>
        <v>650</v>
      </c>
      <c r="EM106" s="3">
        <f t="shared" si="198"/>
        <v>650</v>
      </c>
      <c r="EN106" s="3">
        <f t="shared" si="177"/>
        <v>650</v>
      </c>
      <c r="EO106" s="3">
        <f t="shared" si="158"/>
        <v>650</v>
      </c>
      <c r="EP106" s="3">
        <f t="shared" si="125"/>
        <v>650</v>
      </c>
      <c r="EQ106" s="3">
        <f t="shared" si="305"/>
        <v>650</v>
      </c>
      <c r="ER106" s="3">
        <f t="shared" si="305"/>
        <v>650</v>
      </c>
      <c r="ES106" s="3">
        <f t="shared" si="305"/>
        <v>650</v>
      </c>
      <c r="ET106" s="3">
        <f t="shared" si="305"/>
        <v>650</v>
      </c>
      <c r="EU106" s="3">
        <f t="shared" si="305"/>
        <v>650</v>
      </c>
      <c r="EV106" s="3">
        <f t="shared" si="305"/>
        <v>650</v>
      </c>
      <c r="EW106" s="3">
        <f t="shared" si="305"/>
        <v>650</v>
      </c>
      <c r="EX106" s="3">
        <f t="shared" si="305"/>
        <v>650</v>
      </c>
      <c r="EY106" s="3">
        <f t="shared" si="305"/>
        <v>650</v>
      </c>
      <c r="EZ106" s="5">
        <v>23</v>
      </c>
      <c r="FA106" s="6">
        <f t="shared" si="279"/>
        <v>0.20370370370370369</v>
      </c>
    </row>
    <row r="107" spans="3:157" ht="15" customHeight="1" x14ac:dyDescent="0.3">
      <c r="C107" s="94"/>
      <c r="D107" s="95"/>
      <c r="E107" s="5">
        <v>22</v>
      </c>
      <c r="F107" s="6">
        <f t="shared" si="269"/>
        <v>0.19444444444444442</v>
      </c>
      <c r="G107" s="3">
        <f t="shared" si="295"/>
        <v>600</v>
      </c>
      <c r="H107" s="3">
        <f t="shared" si="295"/>
        <v>600</v>
      </c>
      <c r="I107" s="3">
        <f t="shared" si="295"/>
        <v>600</v>
      </c>
      <c r="J107" s="3">
        <f t="shared" si="295"/>
        <v>600</v>
      </c>
      <c r="K107" s="3">
        <f t="shared" si="295"/>
        <v>600</v>
      </c>
      <c r="L107" s="3">
        <f t="shared" si="295"/>
        <v>600</v>
      </c>
      <c r="M107" s="3">
        <f t="shared" si="295"/>
        <v>600</v>
      </c>
      <c r="N107" s="3">
        <f t="shared" si="295"/>
        <v>600</v>
      </c>
      <c r="O107" s="3">
        <f t="shared" si="295"/>
        <v>600</v>
      </c>
      <c r="P107" s="3">
        <f t="shared" si="87"/>
        <v>600</v>
      </c>
      <c r="Q107" s="3">
        <f t="shared" si="129"/>
        <v>600</v>
      </c>
      <c r="R107" s="3">
        <f t="shared" si="159"/>
        <v>600</v>
      </c>
      <c r="S107" s="3">
        <f t="shared" si="178"/>
        <v>600</v>
      </c>
      <c r="T107" s="3">
        <f t="shared" si="210"/>
        <v>600</v>
      </c>
      <c r="U107" s="3">
        <f t="shared" ref="U107" si="312">($F$5*$B$5*T44+$F$4*V44)/($F$4+$F$5*$B$5)</f>
        <v>610.65689062372098</v>
      </c>
      <c r="V107" s="3">
        <f t="shared" si="181"/>
        <v>611.26494827528313</v>
      </c>
      <c r="W107" s="3">
        <f t="shared" ref="W107" si="313">($F$6*$B$5*X44+$F$4*V44)/($F$4+$F$6*$B$5)</f>
        <v>612.88823632682818</v>
      </c>
      <c r="X107" s="3">
        <f t="shared" si="213"/>
        <v>650</v>
      </c>
      <c r="Y107" s="3">
        <f t="shared" si="184"/>
        <v>650</v>
      </c>
      <c r="Z107" s="3">
        <f t="shared" si="165"/>
        <v>650</v>
      </c>
      <c r="AA107" s="3">
        <f t="shared" si="137"/>
        <v>650</v>
      </c>
      <c r="AB107" s="3">
        <f t="shared" si="99"/>
        <v>650</v>
      </c>
      <c r="AC107" s="3">
        <f t="shared" si="298"/>
        <v>650</v>
      </c>
      <c r="AD107" s="3">
        <f t="shared" si="298"/>
        <v>650</v>
      </c>
      <c r="AE107" s="3">
        <f t="shared" si="298"/>
        <v>650</v>
      </c>
      <c r="AF107" s="3">
        <f t="shared" si="298"/>
        <v>650</v>
      </c>
      <c r="AG107" s="3">
        <f t="shared" si="298"/>
        <v>650</v>
      </c>
      <c r="AH107" s="3">
        <f t="shared" si="298"/>
        <v>650</v>
      </c>
      <c r="AI107" s="3">
        <f t="shared" si="298"/>
        <v>650</v>
      </c>
      <c r="AJ107" s="3">
        <f t="shared" si="298"/>
        <v>650</v>
      </c>
      <c r="AK107" s="3">
        <f t="shared" si="298"/>
        <v>650</v>
      </c>
      <c r="AL107" s="5">
        <v>22</v>
      </c>
      <c r="AM107" s="6">
        <f t="shared" si="272"/>
        <v>0.19444444444444442</v>
      </c>
      <c r="AP107" s="102"/>
      <c r="AQ107" s="101"/>
      <c r="AR107" s="5">
        <v>22</v>
      </c>
      <c r="AS107" s="6">
        <f t="shared" si="273"/>
        <v>0.19444444444444442</v>
      </c>
      <c r="AT107" s="3">
        <f t="shared" si="299"/>
        <v>600</v>
      </c>
      <c r="AU107" s="3">
        <f t="shared" si="299"/>
        <v>600</v>
      </c>
      <c r="AV107" s="3">
        <f t="shared" si="299"/>
        <v>600</v>
      </c>
      <c r="AW107" s="3">
        <f t="shared" si="299"/>
        <v>600</v>
      </c>
      <c r="AX107" s="3">
        <f t="shared" si="299"/>
        <v>600</v>
      </c>
      <c r="AY107" s="3">
        <f t="shared" si="299"/>
        <v>600</v>
      </c>
      <c r="AZ107" s="3">
        <f t="shared" si="299"/>
        <v>600</v>
      </c>
      <c r="BA107" s="3">
        <f t="shared" si="299"/>
        <v>600</v>
      </c>
      <c r="BB107" s="3">
        <f t="shared" si="299"/>
        <v>600</v>
      </c>
      <c r="BC107" s="3">
        <f t="shared" si="100"/>
        <v>600</v>
      </c>
      <c r="BD107" s="3">
        <f t="shared" si="138"/>
        <v>600</v>
      </c>
      <c r="BE107" s="3">
        <f t="shared" si="166"/>
        <v>600</v>
      </c>
      <c r="BF107" s="3">
        <f t="shared" si="185"/>
        <v>600</v>
      </c>
      <c r="BG107" s="66">
        <f t="shared" si="214"/>
        <v>600</v>
      </c>
      <c r="BH107" s="69"/>
      <c r="BI107" s="70">
        <f t="shared" si="215"/>
        <v>-2193253556.8076448</v>
      </c>
      <c r="BJ107" s="69"/>
      <c r="BK107" s="23">
        <f t="shared" si="216"/>
        <v>650</v>
      </c>
      <c r="BL107" s="3">
        <f t="shared" si="189"/>
        <v>650</v>
      </c>
      <c r="BM107" s="3">
        <f t="shared" si="167"/>
        <v>650</v>
      </c>
      <c r="BN107" s="3">
        <f t="shared" si="146"/>
        <v>650</v>
      </c>
      <c r="BO107" s="3">
        <f t="shared" si="110"/>
        <v>650</v>
      </c>
      <c r="BP107" s="3">
        <f t="shared" si="300"/>
        <v>650</v>
      </c>
      <c r="BQ107" s="3">
        <f t="shared" si="300"/>
        <v>650</v>
      </c>
      <c r="BR107" s="3">
        <f t="shared" si="300"/>
        <v>650</v>
      </c>
      <c r="BS107" s="3">
        <f t="shared" si="300"/>
        <v>650</v>
      </c>
      <c r="BT107" s="3">
        <f t="shared" si="300"/>
        <v>650</v>
      </c>
      <c r="BU107" s="3">
        <f t="shared" si="300"/>
        <v>650</v>
      </c>
      <c r="BV107" s="3">
        <f t="shared" si="300"/>
        <v>650</v>
      </c>
      <c r="BW107" s="3">
        <f t="shared" si="300"/>
        <v>650</v>
      </c>
      <c r="BX107" s="3">
        <f t="shared" si="300"/>
        <v>650</v>
      </c>
      <c r="BY107" s="5">
        <v>22</v>
      </c>
      <c r="BZ107" s="6">
        <f t="shared" si="274"/>
        <v>0.19444444444444442</v>
      </c>
      <c r="CC107" s="94"/>
      <c r="CD107" s="95"/>
      <c r="CE107" s="5">
        <v>22</v>
      </c>
      <c r="CF107" s="6">
        <f t="shared" si="275"/>
        <v>0.19444444444444442</v>
      </c>
      <c r="CG107" s="3">
        <f t="shared" si="301"/>
        <v>600</v>
      </c>
      <c r="CH107" s="3">
        <f t="shared" si="301"/>
        <v>600</v>
      </c>
      <c r="CI107" s="3">
        <f t="shared" si="301"/>
        <v>600</v>
      </c>
      <c r="CJ107" s="3">
        <f t="shared" si="301"/>
        <v>600</v>
      </c>
      <c r="CK107" s="3">
        <f t="shared" si="301"/>
        <v>600</v>
      </c>
      <c r="CL107" s="3">
        <f t="shared" si="301"/>
        <v>600</v>
      </c>
      <c r="CM107" s="3">
        <f t="shared" si="301"/>
        <v>600</v>
      </c>
      <c r="CN107" s="3">
        <f t="shared" si="301"/>
        <v>600</v>
      </c>
      <c r="CO107" s="3">
        <f t="shared" si="301"/>
        <v>600</v>
      </c>
      <c r="CP107" s="3">
        <f t="shared" si="111"/>
        <v>600</v>
      </c>
      <c r="CQ107" s="3">
        <f t="shared" si="147"/>
        <v>600</v>
      </c>
      <c r="CR107" s="3">
        <f t="shared" si="168"/>
        <v>600</v>
      </c>
      <c r="CS107" s="3">
        <f t="shared" si="190"/>
        <v>600</v>
      </c>
      <c r="CT107" s="3">
        <f t="shared" si="217"/>
        <v>600</v>
      </c>
      <c r="CU107" s="3">
        <f t="shared" ref="CU107:CW107" si="314">$L$2/($L$3-$L$4*CT107)</f>
        <v>-1.6746678575415876E-3</v>
      </c>
      <c r="CV107" s="3">
        <f t="shared" si="314"/>
        <v>0.34863354230673421</v>
      </c>
      <c r="CW107" s="3">
        <f t="shared" si="314"/>
        <v>0.39713536344133415</v>
      </c>
      <c r="CX107" s="3">
        <f t="shared" si="219"/>
        <v>650</v>
      </c>
      <c r="CY107" s="3">
        <f t="shared" si="192"/>
        <v>650</v>
      </c>
      <c r="CZ107" s="3">
        <f t="shared" si="169"/>
        <v>650</v>
      </c>
      <c r="DA107" s="3">
        <f t="shared" si="148"/>
        <v>650</v>
      </c>
      <c r="DB107" s="3">
        <f t="shared" si="113"/>
        <v>650</v>
      </c>
      <c r="DC107" s="3">
        <f t="shared" si="303"/>
        <v>650</v>
      </c>
      <c r="DD107" s="3">
        <f t="shared" si="303"/>
        <v>650</v>
      </c>
      <c r="DE107" s="3">
        <f t="shared" si="303"/>
        <v>650</v>
      </c>
      <c r="DF107" s="3">
        <f t="shared" si="303"/>
        <v>650</v>
      </c>
      <c r="DG107" s="3">
        <f t="shared" si="303"/>
        <v>650</v>
      </c>
      <c r="DH107" s="3">
        <f t="shared" si="303"/>
        <v>650</v>
      </c>
      <c r="DI107" s="3">
        <f t="shared" si="303"/>
        <v>650</v>
      </c>
      <c r="DJ107" s="3">
        <f t="shared" si="303"/>
        <v>650</v>
      </c>
      <c r="DK107" s="3">
        <f t="shared" si="303"/>
        <v>650</v>
      </c>
      <c r="DL107" s="5">
        <v>22</v>
      </c>
      <c r="DM107" s="6">
        <f t="shared" si="277"/>
        <v>0.19444444444444442</v>
      </c>
      <c r="DQ107" s="94"/>
      <c r="DR107" s="95"/>
      <c r="DS107" s="5">
        <v>22</v>
      </c>
      <c r="DT107" s="6">
        <f t="shared" si="278"/>
        <v>0.19444444444444442</v>
      </c>
      <c r="DU107" s="3">
        <f t="shared" si="304"/>
        <v>600</v>
      </c>
      <c r="DV107" s="3">
        <f t="shared" si="304"/>
        <v>600</v>
      </c>
      <c r="DW107" s="3">
        <f t="shared" si="304"/>
        <v>600</v>
      </c>
      <c r="DX107" s="3">
        <f t="shared" si="304"/>
        <v>600</v>
      </c>
      <c r="DY107" s="3">
        <f t="shared" si="304"/>
        <v>600</v>
      </c>
      <c r="DZ107" s="3">
        <f t="shared" si="304"/>
        <v>600</v>
      </c>
      <c r="EA107" s="3">
        <f t="shared" si="304"/>
        <v>600</v>
      </c>
      <c r="EB107" s="3">
        <f t="shared" si="304"/>
        <v>600</v>
      </c>
      <c r="EC107" s="3">
        <f t="shared" si="304"/>
        <v>600</v>
      </c>
      <c r="ED107" s="3">
        <f t="shared" si="114"/>
        <v>600</v>
      </c>
      <c r="EE107" s="3">
        <f t="shared" si="149"/>
        <v>600</v>
      </c>
      <c r="EF107" s="3">
        <f t="shared" si="170"/>
        <v>600</v>
      </c>
      <c r="EG107" s="3">
        <f t="shared" si="193"/>
        <v>600</v>
      </c>
      <c r="EH107" s="3">
        <f t="shared" si="220"/>
        <v>600</v>
      </c>
      <c r="EI107" s="3">
        <f t="shared" si="227"/>
        <v>610.65689062372098</v>
      </c>
      <c r="EJ107" s="3">
        <f t="shared" si="221"/>
        <v>397.59155140653417</v>
      </c>
      <c r="EK107" s="3">
        <f t="shared" si="222"/>
        <v>157.89766526903784</v>
      </c>
      <c r="EL107" s="3">
        <f t="shared" si="223"/>
        <v>650</v>
      </c>
      <c r="EM107" s="3">
        <f t="shared" si="198"/>
        <v>650</v>
      </c>
      <c r="EN107" s="3">
        <f t="shared" si="177"/>
        <v>650</v>
      </c>
      <c r="EO107" s="3">
        <f t="shared" si="158"/>
        <v>650</v>
      </c>
      <c r="EP107" s="3">
        <f t="shared" si="125"/>
        <v>650</v>
      </c>
      <c r="EQ107" s="3">
        <f t="shared" si="305"/>
        <v>650</v>
      </c>
      <c r="ER107" s="3">
        <f t="shared" si="305"/>
        <v>650</v>
      </c>
      <c r="ES107" s="3">
        <f t="shared" si="305"/>
        <v>650</v>
      </c>
      <c r="ET107" s="3">
        <f t="shared" si="305"/>
        <v>650</v>
      </c>
      <c r="EU107" s="3">
        <f t="shared" si="305"/>
        <v>650</v>
      </c>
      <c r="EV107" s="3">
        <f t="shared" si="305"/>
        <v>650</v>
      </c>
      <c r="EW107" s="3">
        <f t="shared" si="305"/>
        <v>650</v>
      </c>
      <c r="EX107" s="3">
        <f t="shared" si="305"/>
        <v>650</v>
      </c>
      <c r="EY107" s="3">
        <f t="shared" si="305"/>
        <v>650</v>
      </c>
      <c r="EZ107" s="5">
        <v>22</v>
      </c>
      <c r="FA107" s="6">
        <f t="shared" si="279"/>
        <v>0.19444444444444442</v>
      </c>
    </row>
    <row r="108" spans="3:157" ht="15" customHeight="1" x14ac:dyDescent="0.3">
      <c r="C108" s="94"/>
      <c r="D108" s="95"/>
      <c r="E108" s="5">
        <v>21</v>
      </c>
      <c r="F108" s="6">
        <f t="shared" si="269"/>
        <v>0.18518518518518517</v>
      </c>
      <c r="G108" s="3">
        <f t="shared" si="295"/>
        <v>600</v>
      </c>
      <c r="H108" s="3">
        <f t="shared" si="295"/>
        <v>600</v>
      </c>
      <c r="I108" s="3">
        <f t="shared" si="295"/>
        <v>600</v>
      </c>
      <c r="J108" s="3">
        <f t="shared" si="295"/>
        <v>600</v>
      </c>
      <c r="K108" s="3">
        <f t="shared" si="295"/>
        <v>600</v>
      </c>
      <c r="L108" s="3">
        <f t="shared" si="295"/>
        <v>600</v>
      </c>
      <c r="M108" s="3">
        <f t="shared" si="295"/>
        <v>600</v>
      </c>
      <c r="N108" s="3">
        <f t="shared" si="295"/>
        <v>600</v>
      </c>
      <c r="O108" s="3">
        <f t="shared" si="295"/>
        <v>600</v>
      </c>
      <c r="P108" s="3">
        <f t="shared" si="87"/>
        <v>600</v>
      </c>
      <c r="Q108" s="3">
        <f t="shared" si="129"/>
        <v>600</v>
      </c>
      <c r="R108" s="3">
        <f t="shared" si="159"/>
        <v>600</v>
      </c>
      <c r="S108" s="3">
        <f t="shared" si="178"/>
        <v>600</v>
      </c>
      <c r="T108" s="3">
        <f t="shared" si="210"/>
        <v>600</v>
      </c>
      <c r="U108" s="3">
        <f t="shared" ref="U108" si="315">($F$5*$B$5*T45+$F$4*V45)/($F$4+$F$5*$B$5)</f>
        <v>610.82468439338629</v>
      </c>
      <c r="V108" s="3">
        <f t="shared" si="181"/>
        <v>611.4363956158968</v>
      </c>
      <c r="W108" s="3">
        <f t="shared" ref="W108" si="316">($F$6*$B$5*X45+$F$4*V45)/($F$4+$F$6*$B$5)</f>
        <v>613.05836056551664</v>
      </c>
      <c r="X108" s="3">
        <f t="shared" si="213"/>
        <v>650</v>
      </c>
      <c r="Y108" s="3">
        <f t="shared" si="184"/>
        <v>650</v>
      </c>
      <c r="Z108" s="3">
        <f t="shared" si="165"/>
        <v>650</v>
      </c>
      <c r="AA108" s="3">
        <f t="shared" si="137"/>
        <v>650</v>
      </c>
      <c r="AB108" s="3">
        <f t="shared" si="99"/>
        <v>650</v>
      </c>
      <c r="AC108" s="3">
        <f t="shared" si="298"/>
        <v>650</v>
      </c>
      <c r="AD108" s="3">
        <f t="shared" si="298"/>
        <v>650</v>
      </c>
      <c r="AE108" s="3">
        <f t="shared" si="298"/>
        <v>650</v>
      </c>
      <c r="AF108" s="3">
        <f t="shared" si="298"/>
        <v>650</v>
      </c>
      <c r="AG108" s="3">
        <f t="shared" si="298"/>
        <v>650</v>
      </c>
      <c r="AH108" s="3">
        <f t="shared" si="298"/>
        <v>650</v>
      </c>
      <c r="AI108" s="3">
        <f t="shared" si="298"/>
        <v>650</v>
      </c>
      <c r="AJ108" s="3">
        <f t="shared" si="298"/>
        <v>650</v>
      </c>
      <c r="AK108" s="3">
        <f t="shared" si="298"/>
        <v>650</v>
      </c>
      <c r="AL108" s="5">
        <v>21</v>
      </c>
      <c r="AM108" s="6">
        <f t="shared" si="272"/>
        <v>0.18518518518518517</v>
      </c>
      <c r="AP108" s="102"/>
      <c r="AQ108" s="101"/>
      <c r="AR108" s="5">
        <v>21</v>
      </c>
      <c r="AS108" s="6">
        <f t="shared" si="273"/>
        <v>0.18518518518518517</v>
      </c>
      <c r="AT108" s="3">
        <f t="shared" si="299"/>
        <v>600</v>
      </c>
      <c r="AU108" s="3">
        <f t="shared" si="299"/>
        <v>600</v>
      </c>
      <c r="AV108" s="3">
        <f t="shared" si="299"/>
        <v>600</v>
      </c>
      <c r="AW108" s="3">
        <f t="shared" si="299"/>
        <v>600</v>
      </c>
      <c r="AX108" s="3">
        <f t="shared" si="299"/>
        <v>600</v>
      </c>
      <c r="AY108" s="3">
        <f t="shared" si="299"/>
        <v>600</v>
      </c>
      <c r="AZ108" s="3">
        <f t="shared" si="299"/>
        <v>600</v>
      </c>
      <c r="BA108" s="3">
        <f t="shared" si="299"/>
        <v>600</v>
      </c>
      <c r="BB108" s="3">
        <f t="shared" si="299"/>
        <v>600</v>
      </c>
      <c r="BC108" s="3">
        <f t="shared" si="100"/>
        <v>600</v>
      </c>
      <c r="BD108" s="3">
        <f t="shared" si="138"/>
        <v>600</v>
      </c>
      <c r="BE108" s="3">
        <f t="shared" si="166"/>
        <v>600</v>
      </c>
      <c r="BF108" s="3">
        <f t="shared" si="185"/>
        <v>600</v>
      </c>
      <c r="BG108" s="66">
        <f t="shared" si="214"/>
        <v>600</v>
      </c>
      <c r="BH108" s="69"/>
      <c r="BI108" s="70">
        <f t="shared" si="215"/>
        <v>-2193890501.9572945</v>
      </c>
      <c r="BJ108" s="69"/>
      <c r="BK108" s="23">
        <f t="shared" si="216"/>
        <v>650</v>
      </c>
      <c r="BL108" s="3">
        <f t="shared" si="189"/>
        <v>650</v>
      </c>
      <c r="BM108" s="3">
        <f t="shared" si="167"/>
        <v>650</v>
      </c>
      <c r="BN108" s="3">
        <f t="shared" si="146"/>
        <v>650</v>
      </c>
      <c r="BO108" s="3">
        <f t="shared" si="110"/>
        <v>650</v>
      </c>
      <c r="BP108" s="3">
        <f t="shared" si="300"/>
        <v>650</v>
      </c>
      <c r="BQ108" s="3">
        <f t="shared" si="300"/>
        <v>650</v>
      </c>
      <c r="BR108" s="3">
        <f t="shared" si="300"/>
        <v>650</v>
      </c>
      <c r="BS108" s="3">
        <f t="shared" si="300"/>
        <v>650</v>
      </c>
      <c r="BT108" s="3">
        <f t="shared" si="300"/>
        <v>650</v>
      </c>
      <c r="BU108" s="3">
        <f t="shared" si="300"/>
        <v>650</v>
      </c>
      <c r="BV108" s="3">
        <f t="shared" si="300"/>
        <v>650</v>
      </c>
      <c r="BW108" s="3">
        <f t="shared" si="300"/>
        <v>650</v>
      </c>
      <c r="BX108" s="3">
        <f t="shared" si="300"/>
        <v>650</v>
      </c>
      <c r="BY108" s="5">
        <v>21</v>
      </c>
      <c r="BZ108" s="6">
        <f t="shared" si="274"/>
        <v>0.18518518518518517</v>
      </c>
      <c r="CC108" s="94"/>
      <c r="CD108" s="95"/>
      <c r="CE108" s="5">
        <v>21</v>
      </c>
      <c r="CF108" s="6">
        <f t="shared" si="275"/>
        <v>0.18518518518518517</v>
      </c>
      <c r="CG108" s="3">
        <f t="shared" si="301"/>
        <v>600</v>
      </c>
      <c r="CH108" s="3">
        <f t="shared" si="301"/>
        <v>600</v>
      </c>
      <c r="CI108" s="3">
        <f t="shared" si="301"/>
        <v>600</v>
      </c>
      <c r="CJ108" s="3">
        <f t="shared" si="301"/>
        <v>600</v>
      </c>
      <c r="CK108" s="3">
        <f t="shared" si="301"/>
        <v>600</v>
      </c>
      <c r="CL108" s="3">
        <f t="shared" si="301"/>
        <v>600</v>
      </c>
      <c r="CM108" s="3">
        <f t="shared" si="301"/>
        <v>600</v>
      </c>
      <c r="CN108" s="3">
        <f t="shared" si="301"/>
        <v>600</v>
      </c>
      <c r="CO108" s="3">
        <f t="shared" si="301"/>
        <v>600</v>
      </c>
      <c r="CP108" s="3">
        <f t="shared" si="111"/>
        <v>600</v>
      </c>
      <c r="CQ108" s="3">
        <f t="shared" si="147"/>
        <v>600</v>
      </c>
      <c r="CR108" s="3">
        <f t="shared" si="168"/>
        <v>600</v>
      </c>
      <c r="CS108" s="3">
        <f t="shared" si="190"/>
        <v>600</v>
      </c>
      <c r="CT108" s="3">
        <f t="shared" si="217"/>
        <v>600</v>
      </c>
      <c r="CU108" s="3">
        <f t="shared" ref="CU108:CW108" si="317">$L$2/($L$3-$L$4*CT108)</f>
        <v>-1.6746678575415876E-3</v>
      </c>
      <c r="CV108" s="3">
        <f t="shared" si="317"/>
        <v>0.34863354230673421</v>
      </c>
      <c r="CW108" s="3">
        <f t="shared" si="317"/>
        <v>0.39713536344133415</v>
      </c>
      <c r="CX108" s="3">
        <f t="shared" si="219"/>
        <v>650</v>
      </c>
      <c r="CY108" s="3">
        <f t="shared" si="192"/>
        <v>650</v>
      </c>
      <c r="CZ108" s="3">
        <f t="shared" si="169"/>
        <v>650</v>
      </c>
      <c r="DA108" s="3">
        <f t="shared" si="148"/>
        <v>650</v>
      </c>
      <c r="DB108" s="3">
        <f t="shared" si="113"/>
        <v>650</v>
      </c>
      <c r="DC108" s="3">
        <f t="shared" si="303"/>
        <v>650</v>
      </c>
      <c r="DD108" s="3">
        <f t="shared" si="303"/>
        <v>650</v>
      </c>
      <c r="DE108" s="3">
        <f t="shared" si="303"/>
        <v>650</v>
      </c>
      <c r="DF108" s="3">
        <f t="shared" si="303"/>
        <v>650</v>
      </c>
      <c r="DG108" s="3">
        <f t="shared" si="303"/>
        <v>650</v>
      </c>
      <c r="DH108" s="3">
        <f t="shared" si="303"/>
        <v>650</v>
      </c>
      <c r="DI108" s="3">
        <f t="shared" si="303"/>
        <v>650</v>
      </c>
      <c r="DJ108" s="3">
        <f t="shared" si="303"/>
        <v>650</v>
      </c>
      <c r="DK108" s="3">
        <f t="shared" si="303"/>
        <v>650</v>
      </c>
      <c r="DL108" s="5">
        <v>21</v>
      </c>
      <c r="DM108" s="6">
        <f t="shared" si="277"/>
        <v>0.18518518518518517</v>
      </c>
      <c r="DQ108" s="94"/>
      <c r="DR108" s="95"/>
      <c r="DS108" s="5">
        <v>21</v>
      </c>
      <c r="DT108" s="6">
        <f t="shared" si="278"/>
        <v>0.18518518518518517</v>
      </c>
      <c r="DU108" s="3">
        <f t="shared" si="304"/>
        <v>600</v>
      </c>
      <c r="DV108" s="3">
        <f t="shared" si="304"/>
        <v>600</v>
      </c>
      <c r="DW108" s="3">
        <f t="shared" si="304"/>
        <v>600</v>
      </c>
      <c r="DX108" s="3">
        <f t="shared" si="304"/>
        <v>600</v>
      </c>
      <c r="DY108" s="3">
        <f t="shared" si="304"/>
        <v>600</v>
      </c>
      <c r="DZ108" s="3">
        <f t="shared" si="304"/>
        <v>600</v>
      </c>
      <c r="EA108" s="3">
        <f t="shared" si="304"/>
        <v>600</v>
      </c>
      <c r="EB108" s="3">
        <f t="shared" si="304"/>
        <v>600</v>
      </c>
      <c r="EC108" s="3">
        <f t="shared" si="304"/>
        <v>600</v>
      </c>
      <c r="ED108" s="3">
        <f t="shared" si="114"/>
        <v>600</v>
      </c>
      <c r="EE108" s="3">
        <f t="shared" si="149"/>
        <v>600</v>
      </c>
      <c r="EF108" s="3">
        <f t="shared" si="170"/>
        <v>600</v>
      </c>
      <c r="EG108" s="3">
        <f t="shared" si="193"/>
        <v>600</v>
      </c>
      <c r="EH108" s="3">
        <f t="shared" si="220"/>
        <v>600</v>
      </c>
      <c r="EI108" s="3">
        <f t="shared" si="227"/>
        <v>610.82468439338629</v>
      </c>
      <c r="EJ108" s="3">
        <f t="shared" si="221"/>
        <v>397.70368773118162</v>
      </c>
      <c r="EK108" s="3">
        <f t="shared" si="222"/>
        <v>157.94219856908168</v>
      </c>
      <c r="EL108" s="3">
        <f t="shared" si="223"/>
        <v>650</v>
      </c>
      <c r="EM108" s="3">
        <f t="shared" si="198"/>
        <v>650</v>
      </c>
      <c r="EN108" s="3">
        <f t="shared" si="177"/>
        <v>650</v>
      </c>
      <c r="EO108" s="3">
        <f t="shared" si="158"/>
        <v>650</v>
      </c>
      <c r="EP108" s="3">
        <f t="shared" si="125"/>
        <v>650</v>
      </c>
      <c r="EQ108" s="3">
        <f t="shared" si="305"/>
        <v>650</v>
      </c>
      <c r="ER108" s="3">
        <f t="shared" si="305"/>
        <v>650</v>
      </c>
      <c r="ES108" s="3">
        <f t="shared" si="305"/>
        <v>650</v>
      </c>
      <c r="ET108" s="3">
        <f t="shared" si="305"/>
        <v>650</v>
      </c>
      <c r="EU108" s="3">
        <f t="shared" si="305"/>
        <v>650</v>
      </c>
      <c r="EV108" s="3">
        <f t="shared" si="305"/>
        <v>650</v>
      </c>
      <c r="EW108" s="3">
        <f t="shared" si="305"/>
        <v>650</v>
      </c>
      <c r="EX108" s="3">
        <f t="shared" si="305"/>
        <v>650</v>
      </c>
      <c r="EY108" s="3">
        <f t="shared" si="305"/>
        <v>650</v>
      </c>
      <c r="EZ108" s="5">
        <v>21</v>
      </c>
      <c r="FA108" s="6">
        <f t="shared" si="279"/>
        <v>0.18518518518518517</v>
      </c>
    </row>
    <row r="109" spans="3:157" ht="15" customHeight="1" x14ac:dyDescent="0.3">
      <c r="C109" s="94"/>
      <c r="D109" s="95"/>
      <c r="E109" s="5">
        <v>20</v>
      </c>
      <c r="F109" s="6">
        <f t="shared" si="269"/>
        <v>0.17592592592592593</v>
      </c>
      <c r="G109" s="3">
        <f t="shared" si="295"/>
        <v>600</v>
      </c>
      <c r="H109" s="3">
        <f t="shared" si="295"/>
        <v>600</v>
      </c>
      <c r="I109" s="3">
        <f t="shared" si="295"/>
        <v>600</v>
      </c>
      <c r="J109" s="3">
        <f t="shared" si="295"/>
        <v>600</v>
      </c>
      <c r="K109" s="3">
        <f t="shared" si="295"/>
        <v>600</v>
      </c>
      <c r="L109" s="3">
        <f t="shared" si="295"/>
        <v>600</v>
      </c>
      <c r="M109" s="3">
        <f t="shared" si="295"/>
        <v>600</v>
      </c>
      <c r="N109" s="3">
        <f t="shared" si="295"/>
        <v>600</v>
      </c>
      <c r="O109" s="3">
        <f t="shared" si="295"/>
        <v>600</v>
      </c>
      <c r="P109" s="3">
        <f t="shared" si="87"/>
        <v>600</v>
      </c>
      <c r="Q109" s="3">
        <f t="shared" si="129"/>
        <v>600</v>
      </c>
      <c r="R109" s="3">
        <f t="shared" si="159"/>
        <v>600</v>
      </c>
      <c r="S109" s="3">
        <f t="shared" si="178"/>
        <v>600</v>
      </c>
      <c r="T109" s="3">
        <f t="shared" si="210"/>
        <v>600</v>
      </c>
      <c r="U109" s="3">
        <f t="shared" ref="U109" si="318">($F$5*$B$5*T46+$F$4*V46)/($F$4+$F$5*$B$5)</f>
        <v>611.09716975027959</v>
      </c>
      <c r="V109" s="3">
        <f t="shared" si="181"/>
        <v>611.71481411670698</v>
      </c>
      <c r="W109" s="3">
        <f t="shared" ref="W109" si="319">($F$6*$B$5*X46+$F$4*V46)/($F$4+$F$6*$B$5)</f>
        <v>613.33463044125563</v>
      </c>
      <c r="X109" s="3">
        <f t="shared" si="213"/>
        <v>650</v>
      </c>
      <c r="Y109" s="3">
        <f t="shared" si="184"/>
        <v>650</v>
      </c>
      <c r="Z109" s="3">
        <f t="shared" si="165"/>
        <v>650</v>
      </c>
      <c r="AA109" s="3">
        <f t="shared" si="137"/>
        <v>650</v>
      </c>
      <c r="AB109" s="3">
        <f t="shared" si="99"/>
        <v>650</v>
      </c>
      <c r="AC109" s="3">
        <f t="shared" si="298"/>
        <v>650</v>
      </c>
      <c r="AD109" s="3">
        <f t="shared" si="298"/>
        <v>650</v>
      </c>
      <c r="AE109" s="3">
        <f t="shared" si="298"/>
        <v>650</v>
      </c>
      <c r="AF109" s="3">
        <f t="shared" si="298"/>
        <v>650</v>
      </c>
      <c r="AG109" s="3">
        <f t="shared" si="298"/>
        <v>650</v>
      </c>
      <c r="AH109" s="3">
        <f t="shared" si="298"/>
        <v>650</v>
      </c>
      <c r="AI109" s="3">
        <f t="shared" si="298"/>
        <v>650</v>
      </c>
      <c r="AJ109" s="3">
        <f t="shared" si="298"/>
        <v>650</v>
      </c>
      <c r="AK109" s="3">
        <f t="shared" si="298"/>
        <v>650</v>
      </c>
      <c r="AL109" s="5">
        <v>20</v>
      </c>
      <c r="AM109" s="6">
        <f t="shared" si="272"/>
        <v>0.17592592592592593</v>
      </c>
      <c r="AP109" s="102"/>
      <c r="AQ109" s="101"/>
      <c r="AR109" s="5">
        <v>20</v>
      </c>
      <c r="AS109" s="6">
        <f t="shared" si="273"/>
        <v>0.17592592592592593</v>
      </c>
      <c r="AT109" s="3">
        <f t="shared" si="299"/>
        <v>600</v>
      </c>
      <c r="AU109" s="3">
        <f t="shared" si="299"/>
        <v>600</v>
      </c>
      <c r="AV109" s="3">
        <f t="shared" si="299"/>
        <v>600</v>
      </c>
      <c r="AW109" s="3">
        <f t="shared" si="299"/>
        <v>600</v>
      </c>
      <c r="AX109" s="3">
        <f t="shared" si="299"/>
        <v>600</v>
      </c>
      <c r="AY109" s="3">
        <f t="shared" si="299"/>
        <v>600</v>
      </c>
      <c r="AZ109" s="3">
        <f t="shared" si="299"/>
        <v>600</v>
      </c>
      <c r="BA109" s="3">
        <f t="shared" si="299"/>
        <v>600</v>
      </c>
      <c r="BB109" s="3">
        <f t="shared" si="299"/>
        <v>600</v>
      </c>
      <c r="BC109" s="3">
        <f t="shared" si="100"/>
        <v>600</v>
      </c>
      <c r="BD109" s="3">
        <f t="shared" si="138"/>
        <v>600</v>
      </c>
      <c r="BE109" s="3">
        <f t="shared" si="166"/>
        <v>600</v>
      </c>
      <c r="BF109" s="3">
        <f t="shared" si="185"/>
        <v>600</v>
      </c>
      <c r="BG109" s="66">
        <f t="shared" si="214"/>
        <v>600</v>
      </c>
      <c r="BH109" s="69"/>
      <c r="BI109" s="70">
        <f t="shared" si="215"/>
        <v>-2194924856.3720613</v>
      </c>
      <c r="BJ109" s="69"/>
      <c r="BK109" s="23">
        <f t="shared" si="216"/>
        <v>650</v>
      </c>
      <c r="BL109" s="3">
        <f t="shared" si="189"/>
        <v>650</v>
      </c>
      <c r="BM109" s="3">
        <f t="shared" si="167"/>
        <v>650</v>
      </c>
      <c r="BN109" s="3">
        <f t="shared" si="146"/>
        <v>650</v>
      </c>
      <c r="BO109" s="3">
        <f t="shared" si="110"/>
        <v>650</v>
      </c>
      <c r="BP109" s="3">
        <f t="shared" si="300"/>
        <v>650</v>
      </c>
      <c r="BQ109" s="3">
        <f t="shared" si="300"/>
        <v>650</v>
      </c>
      <c r="BR109" s="3">
        <f t="shared" si="300"/>
        <v>650</v>
      </c>
      <c r="BS109" s="3">
        <f t="shared" si="300"/>
        <v>650</v>
      </c>
      <c r="BT109" s="3">
        <f t="shared" si="300"/>
        <v>650</v>
      </c>
      <c r="BU109" s="3">
        <f t="shared" si="300"/>
        <v>650</v>
      </c>
      <c r="BV109" s="3">
        <f t="shared" si="300"/>
        <v>650</v>
      </c>
      <c r="BW109" s="3">
        <f t="shared" si="300"/>
        <v>650</v>
      </c>
      <c r="BX109" s="3">
        <f t="shared" si="300"/>
        <v>650</v>
      </c>
      <c r="BY109" s="5">
        <v>20</v>
      </c>
      <c r="BZ109" s="6">
        <f t="shared" si="274"/>
        <v>0.17592592592592593</v>
      </c>
      <c r="CC109" s="94"/>
      <c r="CD109" s="95"/>
      <c r="CE109" s="5">
        <v>20</v>
      </c>
      <c r="CF109" s="6">
        <f t="shared" si="275"/>
        <v>0.17592592592592593</v>
      </c>
      <c r="CG109" s="3">
        <f t="shared" si="301"/>
        <v>600</v>
      </c>
      <c r="CH109" s="3">
        <f t="shared" si="301"/>
        <v>600</v>
      </c>
      <c r="CI109" s="3">
        <f t="shared" si="301"/>
        <v>600</v>
      </c>
      <c r="CJ109" s="3">
        <f t="shared" si="301"/>
        <v>600</v>
      </c>
      <c r="CK109" s="3">
        <f t="shared" si="301"/>
        <v>600</v>
      </c>
      <c r="CL109" s="3">
        <f t="shared" si="301"/>
        <v>600</v>
      </c>
      <c r="CM109" s="3">
        <f t="shared" si="301"/>
        <v>600</v>
      </c>
      <c r="CN109" s="3">
        <f t="shared" si="301"/>
        <v>600</v>
      </c>
      <c r="CO109" s="3">
        <f t="shared" si="301"/>
        <v>600</v>
      </c>
      <c r="CP109" s="3">
        <f t="shared" si="111"/>
        <v>600</v>
      </c>
      <c r="CQ109" s="3">
        <f t="shared" si="147"/>
        <v>600</v>
      </c>
      <c r="CR109" s="3">
        <f t="shared" si="168"/>
        <v>600</v>
      </c>
      <c r="CS109" s="3">
        <f t="shared" si="190"/>
        <v>600</v>
      </c>
      <c r="CT109" s="3">
        <f t="shared" si="217"/>
        <v>600</v>
      </c>
      <c r="CU109" s="3">
        <f t="shared" ref="CU109:CW109" si="320">$L$2/($L$3-$L$4*CT109)</f>
        <v>-1.6746678575415876E-3</v>
      </c>
      <c r="CV109" s="3">
        <f t="shared" si="320"/>
        <v>0.34863354230673421</v>
      </c>
      <c r="CW109" s="3">
        <f t="shared" si="320"/>
        <v>0.39713536344133415</v>
      </c>
      <c r="CX109" s="3">
        <f t="shared" si="219"/>
        <v>650</v>
      </c>
      <c r="CY109" s="3">
        <f t="shared" si="192"/>
        <v>650</v>
      </c>
      <c r="CZ109" s="3">
        <f t="shared" si="169"/>
        <v>650</v>
      </c>
      <c r="DA109" s="3">
        <f t="shared" si="148"/>
        <v>650</v>
      </c>
      <c r="DB109" s="3">
        <f t="shared" si="113"/>
        <v>650</v>
      </c>
      <c r="DC109" s="3">
        <f t="shared" si="303"/>
        <v>650</v>
      </c>
      <c r="DD109" s="3">
        <f t="shared" si="303"/>
        <v>650</v>
      </c>
      <c r="DE109" s="3">
        <f t="shared" si="303"/>
        <v>650</v>
      </c>
      <c r="DF109" s="3">
        <f t="shared" si="303"/>
        <v>650</v>
      </c>
      <c r="DG109" s="3">
        <f t="shared" si="303"/>
        <v>650</v>
      </c>
      <c r="DH109" s="3">
        <f t="shared" si="303"/>
        <v>650</v>
      </c>
      <c r="DI109" s="3">
        <f t="shared" si="303"/>
        <v>650</v>
      </c>
      <c r="DJ109" s="3">
        <f t="shared" si="303"/>
        <v>650</v>
      </c>
      <c r="DK109" s="3">
        <f t="shared" si="303"/>
        <v>650</v>
      </c>
      <c r="DL109" s="5">
        <v>20</v>
      </c>
      <c r="DM109" s="6">
        <f t="shared" si="277"/>
        <v>0.17592592592592593</v>
      </c>
      <c r="DQ109" s="94"/>
      <c r="DR109" s="95"/>
      <c r="DS109" s="5">
        <v>20</v>
      </c>
      <c r="DT109" s="6">
        <f t="shared" si="278"/>
        <v>0.17592592592592593</v>
      </c>
      <c r="DU109" s="3">
        <f t="shared" si="304"/>
        <v>600</v>
      </c>
      <c r="DV109" s="3">
        <f t="shared" si="304"/>
        <v>600</v>
      </c>
      <c r="DW109" s="3">
        <f t="shared" si="304"/>
        <v>600</v>
      </c>
      <c r="DX109" s="3">
        <f t="shared" si="304"/>
        <v>600</v>
      </c>
      <c r="DY109" s="3">
        <f t="shared" si="304"/>
        <v>600</v>
      </c>
      <c r="DZ109" s="3">
        <f t="shared" si="304"/>
        <v>600</v>
      </c>
      <c r="EA109" s="3">
        <f t="shared" si="304"/>
        <v>600</v>
      </c>
      <c r="EB109" s="3">
        <f t="shared" si="304"/>
        <v>600</v>
      </c>
      <c r="EC109" s="3">
        <f t="shared" si="304"/>
        <v>600</v>
      </c>
      <c r="ED109" s="3">
        <f t="shared" si="114"/>
        <v>600</v>
      </c>
      <c r="EE109" s="3">
        <f t="shared" si="149"/>
        <v>600</v>
      </c>
      <c r="EF109" s="3">
        <f t="shared" si="170"/>
        <v>600</v>
      </c>
      <c r="EG109" s="3">
        <f t="shared" si="193"/>
        <v>600</v>
      </c>
      <c r="EH109" s="3">
        <f t="shared" si="220"/>
        <v>600</v>
      </c>
      <c r="EI109" s="3">
        <f t="shared" si="227"/>
        <v>611.09716975027959</v>
      </c>
      <c r="EJ109" s="3">
        <f t="shared" si="221"/>
        <v>397.88578928658029</v>
      </c>
      <c r="EK109" s="3">
        <f t="shared" si="222"/>
        <v>158.01451753646816</v>
      </c>
      <c r="EL109" s="3">
        <f t="shared" si="223"/>
        <v>650</v>
      </c>
      <c r="EM109" s="3">
        <f t="shared" si="198"/>
        <v>650</v>
      </c>
      <c r="EN109" s="3">
        <f t="shared" si="177"/>
        <v>650</v>
      </c>
      <c r="EO109" s="3">
        <f t="shared" si="158"/>
        <v>650</v>
      </c>
      <c r="EP109" s="3">
        <f t="shared" si="125"/>
        <v>650</v>
      </c>
      <c r="EQ109" s="3">
        <f t="shared" si="305"/>
        <v>650</v>
      </c>
      <c r="ER109" s="3">
        <f t="shared" si="305"/>
        <v>650</v>
      </c>
      <c r="ES109" s="3">
        <f t="shared" si="305"/>
        <v>650</v>
      </c>
      <c r="ET109" s="3">
        <f t="shared" si="305"/>
        <v>650</v>
      </c>
      <c r="EU109" s="3">
        <f t="shared" si="305"/>
        <v>650</v>
      </c>
      <c r="EV109" s="3">
        <f t="shared" si="305"/>
        <v>650</v>
      </c>
      <c r="EW109" s="3">
        <f t="shared" si="305"/>
        <v>650</v>
      </c>
      <c r="EX109" s="3">
        <f t="shared" si="305"/>
        <v>650</v>
      </c>
      <c r="EY109" s="3">
        <f t="shared" si="305"/>
        <v>650</v>
      </c>
      <c r="EZ109" s="5">
        <v>20</v>
      </c>
      <c r="FA109" s="6">
        <f t="shared" si="279"/>
        <v>0.17592592592592593</v>
      </c>
    </row>
    <row r="110" spans="3:157" ht="15" customHeight="1" x14ac:dyDescent="0.3">
      <c r="C110" s="94"/>
      <c r="D110" s="95"/>
      <c r="E110" s="5">
        <v>19</v>
      </c>
      <c r="F110" s="6">
        <f t="shared" si="269"/>
        <v>0.16666666666666666</v>
      </c>
      <c r="G110" s="3">
        <f t="shared" si="295"/>
        <v>600</v>
      </c>
      <c r="H110" s="3">
        <f t="shared" si="295"/>
        <v>600</v>
      </c>
      <c r="I110" s="3">
        <f t="shared" si="295"/>
        <v>600</v>
      </c>
      <c r="J110" s="3">
        <f t="shared" si="295"/>
        <v>600</v>
      </c>
      <c r="K110" s="3">
        <f t="shared" si="295"/>
        <v>600</v>
      </c>
      <c r="L110" s="3">
        <f t="shared" si="295"/>
        <v>600</v>
      </c>
      <c r="M110" s="3">
        <f t="shared" si="295"/>
        <v>600</v>
      </c>
      <c r="N110" s="3">
        <f t="shared" si="295"/>
        <v>600</v>
      </c>
      <c r="O110" s="3">
        <f t="shared" si="295"/>
        <v>600</v>
      </c>
      <c r="P110" s="3">
        <f t="shared" si="87"/>
        <v>600</v>
      </c>
      <c r="Q110" s="3">
        <f t="shared" si="129"/>
        <v>600</v>
      </c>
      <c r="R110" s="3">
        <f t="shared" si="159"/>
        <v>600</v>
      </c>
      <c r="S110" s="3">
        <f t="shared" si="178"/>
        <v>600</v>
      </c>
      <c r="T110" s="3">
        <f t="shared" si="210"/>
        <v>600</v>
      </c>
      <c r="U110" s="3">
        <f t="shared" ref="U110" si="321">($F$5*$B$5*T47+$F$4*V47)/($F$4+$F$5*$B$5)</f>
        <v>611.53922857937857</v>
      </c>
      <c r="V110" s="3">
        <f t="shared" si="181"/>
        <v>612.16649841222625</v>
      </c>
      <c r="W110" s="3">
        <f t="shared" ref="W110" si="322">($F$6*$B$5*X47+$F$4*V47)/($F$4+$F$6*$B$5)</f>
        <v>613.78282897631436</v>
      </c>
      <c r="X110" s="3">
        <f t="shared" si="213"/>
        <v>650</v>
      </c>
      <c r="Y110" s="3">
        <f t="shared" si="184"/>
        <v>650</v>
      </c>
      <c r="Z110" s="3">
        <f t="shared" si="165"/>
        <v>650</v>
      </c>
      <c r="AA110" s="3">
        <f t="shared" si="137"/>
        <v>650</v>
      </c>
      <c r="AB110" s="3">
        <f t="shared" si="99"/>
        <v>650</v>
      </c>
      <c r="AC110" s="3">
        <f t="shared" si="298"/>
        <v>650</v>
      </c>
      <c r="AD110" s="3">
        <f t="shared" si="298"/>
        <v>650</v>
      </c>
      <c r="AE110" s="3">
        <f t="shared" si="298"/>
        <v>650</v>
      </c>
      <c r="AF110" s="3">
        <f t="shared" si="298"/>
        <v>650</v>
      </c>
      <c r="AG110" s="3">
        <f t="shared" si="298"/>
        <v>650</v>
      </c>
      <c r="AH110" s="3">
        <f t="shared" si="298"/>
        <v>650</v>
      </c>
      <c r="AI110" s="3">
        <f t="shared" si="298"/>
        <v>650</v>
      </c>
      <c r="AJ110" s="3">
        <f t="shared" si="298"/>
        <v>650</v>
      </c>
      <c r="AK110" s="3">
        <f t="shared" si="298"/>
        <v>650</v>
      </c>
      <c r="AL110" s="5">
        <v>19</v>
      </c>
      <c r="AM110" s="6">
        <f t="shared" si="272"/>
        <v>0.16666666666666666</v>
      </c>
      <c r="AP110" s="102"/>
      <c r="AQ110" s="101"/>
      <c r="AR110" s="5">
        <v>19</v>
      </c>
      <c r="AS110" s="6">
        <f t="shared" si="273"/>
        <v>0.16666666666666666</v>
      </c>
      <c r="AT110" s="3">
        <f t="shared" si="299"/>
        <v>600</v>
      </c>
      <c r="AU110" s="3">
        <f t="shared" si="299"/>
        <v>600</v>
      </c>
      <c r="AV110" s="3">
        <f t="shared" si="299"/>
        <v>600</v>
      </c>
      <c r="AW110" s="3">
        <f t="shared" si="299"/>
        <v>600</v>
      </c>
      <c r="AX110" s="3">
        <f t="shared" si="299"/>
        <v>600</v>
      </c>
      <c r="AY110" s="3">
        <f t="shared" si="299"/>
        <v>600</v>
      </c>
      <c r="AZ110" s="3">
        <f t="shared" si="299"/>
        <v>600</v>
      </c>
      <c r="BA110" s="3">
        <f t="shared" si="299"/>
        <v>600</v>
      </c>
      <c r="BB110" s="3">
        <f t="shared" si="299"/>
        <v>600</v>
      </c>
      <c r="BC110" s="3">
        <f t="shared" si="100"/>
        <v>600</v>
      </c>
      <c r="BD110" s="3">
        <f t="shared" si="138"/>
        <v>600</v>
      </c>
      <c r="BE110" s="3">
        <f t="shared" si="166"/>
        <v>600</v>
      </c>
      <c r="BF110" s="3">
        <f t="shared" si="185"/>
        <v>600</v>
      </c>
      <c r="BG110" s="66">
        <f t="shared" si="214"/>
        <v>600</v>
      </c>
      <c r="BH110" s="69"/>
      <c r="BI110" s="70">
        <f t="shared" si="215"/>
        <v>-2196602911.6873207</v>
      </c>
      <c r="BJ110" s="69"/>
      <c r="BK110" s="23">
        <f t="shared" si="216"/>
        <v>650</v>
      </c>
      <c r="BL110" s="3">
        <f t="shared" si="189"/>
        <v>650</v>
      </c>
      <c r="BM110" s="3">
        <f t="shared" si="167"/>
        <v>650</v>
      </c>
      <c r="BN110" s="3">
        <f t="shared" si="146"/>
        <v>650</v>
      </c>
      <c r="BO110" s="3">
        <f t="shared" si="110"/>
        <v>650</v>
      </c>
      <c r="BP110" s="3">
        <f t="shared" si="300"/>
        <v>650</v>
      </c>
      <c r="BQ110" s="3">
        <f t="shared" si="300"/>
        <v>650</v>
      </c>
      <c r="BR110" s="3">
        <f t="shared" si="300"/>
        <v>650</v>
      </c>
      <c r="BS110" s="3">
        <f t="shared" si="300"/>
        <v>650</v>
      </c>
      <c r="BT110" s="3">
        <f t="shared" si="300"/>
        <v>650</v>
      </c>
      <c r="BU110" s="3">
        <f t="shared" si="300"/>
        <v>650</v>
      </c>
      <c r="BV110" s="3">
        <f t="shared" si="300"/>
        <v>650</v>
      </c>
      <c r="BW110" s="3">
        <f t="shared" si="300"/>
        <v>650</v>
      </c>
      <c r="BX110" s="3">
        <f t="shared" si="300"/>
        <v>650</v>
      </c>
      <c r="BY110" s="5">
        <v>19</v>
      </c>
      <c r="BZ110" s="6">
        <f t="shared" si="274"/>
        <v>0.16666666666666666</v>
      </c>
      <c r="CC110" s="94"/>
      <c r="CD110" s="95"/>
      <c r="CE110" s="5">
        <v>19</v>
      </c>
      <c r="CF110" s="6">
        <f t="shared" si="275"/>
        <v>0.16666666666666666</v>
      </c>
      <c r="CG110" s="3">
        <f t="shared" si="301"/>
        <v>600</v>
      </c>
      <c r="CH110" s="3">
        <f t="shared" si="301"/>
        <v>600</v>
      </c>
      <c r="CI110" s="3">
        <f t="shared" si="301"/>
        <v>600</v>
      </c>
      <c r="CJ110" s="3">
        <f t="shared" si="301"/>
        <v>600</v>
      </c>
      <c r="CK110" s="3">
        <f t="shared" si="301"/>
        <v>600</v>
      </c>
      <c r="CL110" s="3">
        <f t="shared" si="301"/>
        <v>600</v>
      </c>
      <c r="CM110" s="3">
        <f t="shared" si="301"/>
        <v>600</v>
      </c>
      <c r="CN110" s="3">
        <f t="shared" si="301"/>
        <v>600</v>
      </c>
      <c r="CO110" s="3">
        <f t="shared" si="301"/>
        <v>600</v>
      </c>
      <c r="CP110" s="3">
        <f t="shared" si="111"/>
        <v>600</v>
      </c>
      <c r="CQ110" s="3">
        <f t="shared" si="147"/>
        <v>600</v>
      </c>
      <c r="CR110" s="3">
        <f t="shared" si="168"/>
        <v>600</v>
      </c>
      <c r="CS110" s="3">
        <f t="shared" si="190"/>
        <v>600</v>
      </c>
      <c r="CT110" s="3">
        <f t="shared" si="217"/>
        <v>600</v>
      </c>
      <c r="CU110" s="3">
        <f t="shared" ref="CU110:CW110" si="323">$L$2/($L$3-$L$4*CT110)</f>
        <v>-1.6746678575415876E-3</v>
      </c>
      <c r="CV110" s="3">
        <f t="shared" si="323"/>
        <v>0.34863354230673421</v>
      </c>
      <c r="CW110" s="3">
        <f t="shared" si="323"/>
        <v>0.39713536344133415</v>
      </c>
      <c r="CX110" s="3">
        <f t="shared" si="219"/>
        <v>650</v>
      </c>
      <c r="CY110" s="3">
        <f t="shared" si="192"/>
        <v>650</v>
      </c>
      <c r="CZ110" s="3">
        <f t="shared" si="169"/>
        <v>650</v>
      </c>
      <c r="DA110" s="3">
        <f t="shared" si="148"/>
        <v>650</v>
      </c>
      <c r="DB110" s="3">
        <f t="shared" si="113"/>
        <v>650</v>
      </c>
      <c r="DC110" s="3">
        <f t="shared" si="303"/>
        <v>650</v>
      </c>
      <c r="DD110" s="3">
        <f t="shared" si="303"/>
        <v>650</v>
      </c>
      <c r="DE110" s="3">
        <f t="shared" si="303"/>
        <v>650</v>
      </c>
      <c r="DF110" s="3">
        <f t="shared" si="303"/>
        <v>650</v>
      </c>
      <c r="DG110" s="3">
        <f t="shared" si="303"/>
        <v>650</v>
      </c>
      <c r="DH110" s="3">
        <f t="shared" si="303"/>
        <v>650</v>
      </c>
      <c r="DI110" s="3">
        <f t="shared" si="303"/>
        <v>650</v>
      </c>
      <c r="DJ110" s="3">
        <f t="shared" si="303"/>
        <v>650</v>
      </c>
      <c r="DK110" s="3">
        <f t="shared" si="303"/>
        <v>650</v>
      </c>
      <c r="DL110" s="5">
        <v>19</v>
      </c>
      <c r="DM110" s="6">
        <f t="shared" si="277"/>
        <v>0.16666666666666666</v>
      </c>
      <c r="DQ110" s="94"/>
      <c r="DR110" s="95"/>
      <c r="DS110" s="5">
        <v>19</v>
      </c>
      <c r="DT110" s="6">
        <f t="shared" si="278"/>
        <v>0.16666666666666666</v>
      </c>
      <c r="DU110" s="3">
        <f t="shared" si="304"/>
        <v>600</v>
      </c>
      <c r="DV110" s="3">
        <f t="shared" si="304"/>
        <v>600</v>
      </c>
      <c r="DW110" s="3">
        <f t="shared" si="304"/>
        <v>600</v>
      </c>
      <c r="DX110" s="3">
        <f t="shared" si="304"/>
        <v>600</v>
      </c>
      <c r="DY110" s="3">
        <f t="shared" si="304"/>
        <v>600</v>
      </c>
      <c r="DZ110" s="3">
        <f t="shared" si="304"/>
        <v>600</v>
      </c>
      <c r="EA110" s="3">
        <f t="shared" si="304"/>
        <v>600</v>
      </c>
      <c r="EB110" s="3">
        <f t="shared" si="304"/>
        <v>600</v>
      </c>
      <c r="EC110" s="3">
        <f t="shared" si="304"/>
        <v>600</v>
      </c>
      <c r="ED110" s="3">
        <f t="shared" si="114"/>
        <v>600</v>
      </c>
      <c r="EE110" s="3">
        <f t="shared" si="149"/>
        <v>600</v>
      </c>
      <c r="EF110" s="3">
        <f t="shared" si="170"/>
        <v>600</v>
      </c>
      <c r="EG110" s="3">
        <f t="shared" si="193"/>
        <v>600</v>
      </c>
      <c r="EH110" s="3">
        <f t="shared" si="220"/>
        <v>600</v>
      </c>
      <c r="EI110" s="3">
        <f t="shared" si="227"/>
        <v>611.53922857937857</v>
      </c>
      <c r="EJ110" s="3">
        <f t="shared" si="221"/>
        <v>398.18121653916535</v>
      </c>
      <c r="EK110" s="3">
        <f t="shared" si="222"/>
        <v>158.131842145794</v>
      </c>
      <c r="EL110" s="3">
        <f t="shared" si="223"/>
        <v>650</v>
      </c>
      <c r="EM110" s="3">
        <f t="shared" si="198"/>
        <v>650</v>
      </c>
      <c r="EN110" s="3">
        <f t="shared" si="177"/>
        <v>650</v>
      </c>
      <c r="EO110" s="3">
        <f t="shared" si="158"/>
        <v>650</v>
      </c>
      <c r="EP110" s="3">
        <f t="shared" si="125"/>
        <v>650</v>
      </c>
      <c r="EQ110" s="3">
        <f t="shared" si="305"/>
        <v>650</v>
      </c>
      <c r="ER110" s="3">
        <f t="shared" si="305"/>
        <v>650</v>
      </c>
      <c r="ES110" s="3">
        <f t="shared" si="305"/>
        <v>650</v>
      </c>
      <c r="ET110" s="3">
        <f t="shared" si="305"/>
        <v>650</v>
      </c>
      <c r="EU110" s="3">
        <f t="shared" si="305"/>
        <v>650</v>
      </c>
      <c r="EV110" s="3">
        <f t="shared" si="305"/>
        <v>650</v>
      </c>
      <c r="EW110" s="3">
        <f t="shared" si="305"/>
        <v>650</v>
      </c>
      <c r="EX110" s="3">
        <f t="shared" si="305"/>
        <v>650</v>
      </c>
      <c r="EY110" s="3">
        <f t="shared" si="305"/>
        <v>650</v>
      </c>
      <c r="EZ110" s="5">
        <v>19</v>
      </c>
      <c r="FA110" s="6">
        <f t="shared" si="279"/>
        <v>0.16666666666666666</v>
      </c>
    </row>
    <row r="111" spans="3:157" ht="15" customHeight="1" x14ac:dyDescent="0.3">
      <c r="C111" s="94"/>
      <c r="D111" s="95"/>
      <c r="E111" s="5">
        <v>18</v>
      </c>
      <c r="F111" s="6">
        <f t="shared" si="269"/>
        <v>0.15740740740740738</v>
      </c>
      <c r="G111" s="3">
        <f t="shared" si="295"/>
        <v>600</v>
      </c>
      <c r="H111" s="3">
        <f t="shared" si="295"/>
        <v>600</v>
      </c>
      <c r="I111" s="3">
        <f t="shared" si="295"/>
        <v>600</v>
      </c>
      <c r="J111" s="3">
        <f t="shared" si="295"/>
        <v>600</v>
      </c>
      <c r="K111" s="3">
        <f t="shared" si="295"/>
        <v>600</v>
      </c>
      <c r="L111" s="3">
        <f t="shared" si="295"/>
        <v>600</v>
      </c>
      <c r="M111" s="3">
        <f t="shared" si="295"/>
        <v>600</v>
      </c>
      <c r="N111" s="3">
        <f t="shared" si="295"/>
        <v>600</v>
      </c>
      <c r="O111" s="3">
        <f t="shared" si="295"/>
        <v>600</v>
      </c>
      <c r="P111" s="3">
        <f t="shared" si="87"/>
        <v>600</v>
      </c>
      <c r="Q111" s="3">
        <f t="shared" si="129"/>
        <v>600</v>
      </c>
      <c r="R111" s="3">
        <f t="shared" si="159"/>
        <v>600</v>
      </c>
      <c r="S111" s="3">
        <f t="shared" si="178"/>
        <v>600</v>
      </c>
      <c r="T111" s="3">
        <f t="shared" si="210"/>
        <v>600</v>
      </c>
      <c r="U111" s="3">
        <f t="shared" ref="U111" si="324">($F$5*$B$5*T48+$F$4*V48)/($F$4+$F$5*$B$5)</f>
        <v>612.25588998171941</v>
      </c>
      <c r="V111" s="3">
        <f t="shared" si="181"/>
        <v>612.89876452554415</v>
      </c>
      <c r="W111" s="3">
        <f t="shared" ref="W111" si="325">($F$6*$B$5*X48+$F$4*V48)/($F$4+$F$6*$B$5)</f>
        <v>614.50944400924323</v>
      </c>
      <c r="X111" s="3">
        <f t="shared" si="213"/>
        <v>650</v>
      </c>
      <c r="Y111" s="3">
        <f t="shared" si="184"/>
        <v>650</v>
      </c>
      <c r="Z111" s="3">
        <f t="shared" si="165"/>
        <v>650</v>
      </c>
      <c r="AA111" s="3">
        <f t="shared" si="137"/>
        <v>650</v>
      </c>
      <c r="AB111" s="3">
        <f t="shared" si="99"/>
        <v>650</v>
      </c>
      <c r="AC111" s="3">
        <f t="shared" si="298"/>
        <v>650</v>
      </c>
      <c r="AD111" s="3">
        <f t="shared" si="298"/>
        <v>650</v>
      </c>
      <c r="AE111" s="3">
        <f t="shared" si="298"/>
        <v>650</v>
      </c>
      <c r="AF111" s="3">
        <f t="shared" si="298"/>
        <v>650</v>
      </c>
      <c r="AG111" s="3">
        <f t="shared" si="298"/>
        <v>650</v>
      </c>
      <c r="AH111" s="3">
        <f t="shared" si="298"/>
        <v>650</v>
      </c>
      <c r="AI111" s="3">
        <f t="shared" si="298"/>
        <v>650</v>
      </c>
      <c r="AJ111" s="3">
        <f t="shared" si="298"/>
        <v>650</v>
      </c>
      <c r="AK111" s="3">
        <f t="shared" si="298"/>
        <v>650</v>
      </c>
      <c r="AL111" s="5">
        <v>18</v>
      </c>
      <c r="AM111" s="6">
        <f t="shared" si="272"/>
        <v>0.15740740740740738</v>
      </c>
      <c r="AP111" s="102"/>
      <c r="AQ111" s="101"/>
      <c r="AR111" s="5">
        <v>18</v>
      </c>
      <c r="AS111" s="6">
        <f t="shared" si="273"/>
        <v>0.15740740740740738</v>
      </c>
      <c r="AT111" s="3">
        <f t="shared" si="299"/>
        <v>600</v>
      </c>
      <c r="AU111" s="3">
        <f t="shared" si="299"/>
        <v>600</v>
      </c>
      <c r="AV111" s="3">
        <f t="shared" si="299"/>
        <v>600</v>
      </c>
      <c r="AW111" s="3">
        <f t="shared" si="299"/>
        <v>600</v>
      </c>
      <c r="AX111" s="3">
        <f t="shared" si="299"/>
        <v>600</v>
      </c>
      <c r="AY111" s="3">
        <f t="shared" si="299"/>
        <v>600</v>
      </c>
      <c r="AZ111" s="3">
        <f t="shared" si="299"/>
        <v>600</v>
      </c>
      <c r="BA111" s="3">
        <f t="shared" si="299"/>
        <v>600</v>
      </c>
      <c r="BB111" s="3">
        <f t="shared" si="299"/>
        <v>600</v>
      </c>
      <c r="BC111" s="3">
        <f t="shared" si="100"/>
        <v>600</v>
      </c>
      <c r="BD111" s="3">
        <f t="shared" si="138"/>
        <v>600</v>
      </c>
      <c r="BE111" s="3">
        <f t="shared" si="166"/>
        <v>600</v>
      </c>
      <c r="BF111" s="3">
        <f t="shared" si="185"/>
        <v>600</v>
      </c>
      <c r="BG111" s="66">
        <f t="shared" si="214"/>
        <v>600</v>
      </c>
      <c r="BH111" s="69"/>
      <c r="BI111" s="70">
        <f t="shared" si="215"/>
        <v>-2199323358.3706064</v>
      </c>
      <c r="BJ111" s="69"/>
      <c r="BK111" s="23">
        <f t="shared" si="216"/>
        <v>650</v>
      </c>
      <c r="BL111" s="3">
        <f t="shared" si="189"/>
        <v>650</v>
      </c>
      <c r="BM111" s="3">
        <f t="shared" si="167"/>
        <v>650</v>
      </c>
      <c r="BN111" s="3">
        <f t="shared" si="146"/>
        <v>650</v>
      </c>
      <c r="BO111" s="3">
        <f t="shared" si="110"/>
        <v>650</v>
      </c>
      <c r="BP111" s="3">
        <f t="shared" si="300"/>
        <v>650</v>
      </c>
      <c r="BQ111" s="3">
        <f t="shared" si="300"/>
        <v>650</v>
      </c>
      <c r="BR111" s="3">
        <f t="shared" si="300"/>
        <v>650</v>
      </c>
      <c r="BS111" s="3">
        <f t="shared" si="300"/>
        <v>650</v>
      </c>
      <c r="BT111" s="3">
        <f t="shared" si="300"/>
        <v>650</v>
      </c>
      <c r="BU111" s="3">
        <f t="shared" si="300"/>
        <v>650</v>
      </c>
      <c r="BV111" s="3">
        <f t="shared" si="300"/>
        <v>650</v>
      </c>
      <c r="BW111" s="3">
        <f t="shared" si="300"/>
        <v>650</v>
      </c>
      <c r="BX111" s="3">
        <f t="shared" si="300"/>
        <v>650</v>
      </c>
      <c r="BY111" s="5">
        <v>18</v>
      </c>
      <c r="BZ111" s="6">
        <f t="shared" si="274"/>
        <v>0.15740740740740738</v>
      </c>
      <c r="CC111" s="94"/>
      <c r="CD111" s="95"/>
      <c r="CE111" s="5">
        <v>18</v>
      </c>
      <c r="CF111" s="6">
        <f t="shared" si="275"/>
        <v>0.15740740740740738</v>
      </c>
      <c r="CG111" s="3">
        <f t="shared" si="301"/>
        <v>600</v>
      </c>
      <c r="CH111" s="3">
        <f t="shared" si="301"/>
        <v>600</v>
      </c>
      <c r="CI111" s="3">
        <f t="shared" si="301"/>
        <v>600</v>
      </c>
      <c r="CJ111" s="3">
        <f t="shared" si="301"/>
        <v>600</v>
      </c>
      <c r="CK111" s="3">
        <f t="shared" si="301"/>
        <v>600</v>
      </c>
      <c r="CL111" s="3">
        <f t="shared" si="301"/>
        <v>600</v>
      </c>
      <c r="CM111" s="3">
        <f t="shared" si="301"/>
        <v>600</v>
      </c>
      <c r="CN111" s="3">
        <f t="shared" si="301"/>
        <v>600</v>
      </c>
      <c r="CO111" s="3">
        <f t="shared" si="301"/>
        <v>600</v>
      </c>
      <c r="CP111" s="3">
        <f t="shared" si="111"/>
        <v>600</v>
      </c>
      <c r="CQ111" s="3">
        <f t="shared" si="147"/>
        <v>600</v>
      </c>
      <c r="CR111" s="3">
        <f t="shared" si="168"/>
        <v>600</v>
      </c>
      <c r="CS111" s="3">
        <f t="shared" si="190"/>
        <v>600</v>
      </c>
      <c r="CT111" s="3">
        <f t="shared" si="217"/>
        <v>600</v>
      </c>
      <c r="CU111" s="3">
        <f t="shared" ref="CU111:CW111" si="326">$L$2/($L$3-$L$4*CT111)</f>
        <v>-1.6746678575415876E-3</v>
      </c>
      <c r="CV111" s="3">
        <f t="shared" si="326"/>
        <v>0.34863354230673421</v>
      </c>
      <c r="CW111" s="3">
        <f t="shared" si="326"/>
        <v>0.39713536344133415</v>
      </c>
      <c r="CX111" s="3">
        <f t="shared" si="219"/>
        <v>650</v>
      </c>
      <c r="CY111" s="3">
        <f t="shared" si="192"/>
        <v>650</v>
      </c>
      <c r="CZ111" s="3">
        <f t="shared" si="169"/>
        <v>650</v>
      </c>
      <c r="DA111" s="3">
        <f t="shared" si="148"/>
        <v>650</v>
      </c>
      <c r="DB111" s="3">
        <f t="shared" si="113"/>
        <v>650</v>
      </c>
      <c r="DC111" s="3">
        <f t="shared" si="303"/>
        <v>650</v>
      </c>
      <c r="DD111" s="3">
        <f t="shared" si="303"/>
        <v>650</v>
      </c>
      <c r="DE111" s="3">
        <f t="shared" si="303"/>
        <v>650</v>
      </c>
      <c r="DF111" s="3">
        <f t="shared" si="303"/>
        <v>650</v>
      </c>
      <c r="DG111" s="3">
        <f t="shared" si="303"/>
        <v>650</v>
      </c>
      <c r="DH111" s="3">
        <f t="shared" si="303"/>
        <v>650</v>
      </c>
      <c r="DI111" s="3">
        <f t="shared" si="303"/>
        <v>650</v>
      </c>
      <c r="DJ111" s="3">
        <f t="shared" si="303"/>
        <v>650</v>
      </c>
      <c r="DK111" s="3">
        <f t="shared" si="303"/>
        <v>650</v>
      </c>
      <c r="DL111" s="5">
        <v>18</v>
      </c>
      <c r="DM111" s="6">
        <f t="shared" si="277"/>
        <v>0.15740740740740738</v>
      </c>
      <c r="DQ111" s="94"/>
      <c r="DR111" s="95"/>
      <c r="DS111" s="5">
        <v>18</v>
      </c>
      <c r="DT111" s="6">
        <f t="shared" si="278"/>
        <v>0.15740740740740738</v>
      </c>
      <c r="DU111" s="3">
        <f t="shared" si="304"/>
        <v>600</v>
      </c>
      <c r="DV111" s="3">
        <f t="shared" si="304"/>
        <v>600</v>
      </c>
      <c r="DW111" s="3">
        <f t="shared" si="304"/>
        <v>600</v>
      </c>
      <c r="DX111" s="3">
        <f t="shared" si="304"/>
        <v>600</v>
      </c>
      <c r="DY111" s="3">
        <f t="shared" si="304"/>
        <v>600</v>
      </c>
      <c r="DZ111" s="3">
        <f t="shared" si="304"/>
        <v>600</v>
      </c>
      <c r="EA111" s="3">
        <f t="shared" si="304"/>
        <v>600</v>
      </c>
      <c r="EB111" s="3">
        <f t="shared" si="304"/>
        <v>600</v>
      </c>
      <c r="EC111" s="3">
        <f t="shared" si="304"/>
        <v>600</v>
      </c>
      <c r="ED111" s="3">
        <f t="shared" si="114"/>
        <v>600</v>
      </c>
      <c r="EE111" s="3">
        <f t="shared" si="149"/>
        <v>600</v>
      </c>
      <c r="EF111" s="3">
        <f t="shared" si="170"/>
        <v>600</v>
      </c>
      <c r="EG111" s="3">
        <f t="shared" si="193"/>
        <v>600</v>
      </c>
      <c r="EH111" s="3">
        <f t="shared" si="220"/>
        <v>600</v>
      </c>
      <c r="EI111" s="3">
        <f t="shared" si="227"/>
        <v>612.25588998171941</v>
      </c>
      <c r="EJ111" s="3">
        <f t="shared" si="221"/>
        <v>398.66016027965992</v>
      </c>
      <c r="EK111" s="3">
        <f t="shared" si="222"/>
        <v>158.32204764224326</v>
      </c>
      <c r="EL111" s="3">
        <f t="shared" si="223"/>
        <v>650</v>
      </c>
      <c r="EM111" s="3">
        <f t="shared" si="198"/>
        <v>650</v>
      </c>
      <c r="EN111" s="3">
        <f t="shared" si="177"/>
        <v>650</v>
      </c>
      <c r="EO111" s="3">
        <f t="shared" si="158"/>
        <v>650</v>
      </c>
      <c r="EP111" s="3">
        <f t="shared" si="125"/>
        <v>650</v>
      </c>
      <c r="EQ111" s="3">
        <f t="shared" si="305"/>
        <v>650</v>
      </c>
      <c r="ER111" s="3">
        <f t="shared" si="305"/>
        <v>650</v>
      </c>
      <c r="ES111" s="3">
        <f t="shared" si="305"/>
        <v>650</v>
      </c>
      <c r="ET111" s="3">
        <f t="shared" si="305"/>
        <v>650</v>
      </c>
      <c r="EU111" s="3">
        <f t="shared" si="305"/>
        <v>650</v>
      </c>
      <c r="EV111" s="3">
        <f t="shared" si="305"/>
        <v>650</v>
      </c>
      <c r="EW111" s="3">
        <f t="shared" si="305"/>
        <v>650</v>
      </c>
      <c r="EX111" s="3">
        <f t="shared" si="305"/>
        <v>650</v>
      </c>
      <c r="EY111" s="3">
        <f t="shared" si="305"/>
        <v>650</v>
      </c>
      <c r="EZ111" s="5">
        <v>18</v>
      </c>
      <c r="FA111" s="6">
        <f t="shared" si="279"/>
        <v>0.15740740740740738</v>
      </c>
    </row>
    <row r="112" spans="3:157" ht="15" customHeight="1" x14ac:dyDescent="0.3">
      <c r="C112" s="94"/>
      <c r="D112" s="95"/>
      <c r="E112" s="5">
        <v>17</v>
      </c>
      <c r="F112" s="6">
        <f t="shared" si="269"/>
        <v>0.14814814814814814</v>
      </c>
      <c r="G112" s="3">
        <f t="shared" si="295"/>
        <v>600</v>
      </c>
      <c r="H112" s="3">
        <f t="shared" si="295"/>
        <v>600</v>
      </c>
      <c r="I112" s="3">
        <f t="shared" si="295"/>
        <v>600</v>
      </c>
      <c r="J112" s="3">
        <f t="shared" si="295"/>
        <v>600</v>
      </c>
      <c r="K112" s="3">
        <f t="shared" si="295"/>
        <v>600</v>
      </c>
      <c r="L112" s="3">
        <f t="shared" si="295"/>
        <v>600</v>
      </c>
      <c r="M112" s="3">
        <f t="shared" si="295"/>
        <v>600</v>
      </c>
      <c r="N112" s="3">
        <f t="shared" si="295"/>
        <v>600</v>
      </c>
      <c r="O112" s="3">
        <f t="shared" si="295"/>
        <v>600</v>
      </c>
      <c r="P112" s="3">
        <f t="shared" si="87"/>
        <v>600</v>
      </c>
      <c r="Q112" s="3">
        <f t="shared" si="129"/>
        <v>600</v>
      </c>
      <c r="R112" s="3">
        <f t="shared" si="159"/>
        <v>600</v>
      </c>
      <c r="S112" s="3">
        <f t="shared" si="178"/>
        <v>600</v>
      </c>
      <c r="T112" s="3">
        <f t="shared" si="210"/>
        <v>600</v>
      </c>
      <c r="U112" s="3">
        <f t="shared" ref="T112:U114" si="327">($F$5*$B$5*T49+$F$4*V49)/($F$4+$F$5*$B$5)</f>
        <v>613.41707828759093</v>
      </c>
      <c r="V112" s="3">
        <f t="shared" si="181"/>
        <v>614.08523674909827</v>
      </c>
      <c r="W112" s="3">
        <f t="shared" ref="W112" si="328">($F$6*$B$5*X49+$F$4*V49)/($F$4+$F$6*$B$5)</f>
        <v>615.68675993047407</v>
      </c>
      <c r="X112" s="3">
        <f t="shared" si="213"/>
        <v>650</v>
      </c>
      <c r="Y112" s="3">
        <f t="shared" si="184"/>
        <v>650</v>
      </c>
      <c r="Z112" s="3">
        <f t="shared" si="165"/>
        <v>650</v>
      </c>
      <c r="AA112" s="3">
        <f t="shared" si="137"/>
        <v>650</v>
      </c>
      <c r="AB112" s="3">
        <f t="shared" si="99"/>
        <v>650</v>
      </c>
      <c r="AC112" s="3">
        <f t="shared" si="298"/>
        <v>650</v>
      </c>
      <c r="AD112" s="3">
        <f t="shared" si="298"/>
        <v>650</v>
      </c>
      <c r="AE112" s="3">
        <f t="shared" si="298"/>
        <v>650</v>
      </c>
      <c r="AF112" s="3">
        <f t="shared" si="298"/>
        <v>650</v>
      </c>
      <c r="AG112" s="3">
        <f t="shared" si="298"/>
        <v>650</v>
      </c>
      <c r="AH112" s="3">
        <f t="shared" si="298"/>
        <v>650</v>
      </c>
      <c r="AI112" s="3">
        <f t="shared" si="298"/>
        <v>650</v>
      </c>
      <c r="AJ112" s="3">
        <f t="shared" si="298"/>
        <v>650</v>
      </c>
      <c r="AK112" s="3">
        <f t="shared" si="298"/>
        <v>650</v>
      </c>
      <c r="AL112" s="5">
        <v>17</v>
      </c>
      <c r="AM112" s="6">
        <f t="shared" si="272"/>
        <v>0.14814814814814814</v>
      </c>
      <c r="AP112" s="102"/>
      <c r="AQ112" s="101"/>
      <c r="AR112" s="5">
        <v>17</v>
      </c>
      <c r="AS112" s="6">
        <f t="shared" si="273"/>
        <v>0.14814814814814814</v>
      </c>
      <c r="AT112" s="3">
        <f t="shared" si="299"/>
        <v>600</v>
      </c>
      <c r="AU112" s="3">
        <f t="shared" si="299"/>
        <v>600</v>
      </c>
      <c r="AV112" s="3">
        <f t="shared" si="299"/>
        <v>600</v>
      </c>
      <c r="AW112" s="3">
        <f t="shared" si="299"/>
        <v>600</v>
      </c>
      <c r="AX112" s="3">
        <f t="shared" si="299"/>
        <v>600</v>
      </c>
      <c r="AY112" s="3">
        <f t="shared" si="299"/>
        <v>600</v>
      </c>
      <c r="AZ112" s="3">
        <f t="shared" si="299"/>
        <v>600</v>
      </c>
      <c r="BA112" s="3">
        <f t="shared" si="299"/>
        <v>600</v>
      </c>
      <c r="BB112" s="3">
        <f t="shared" si="299"/>
        <v>600</v>
      </c>
      <c r="BC112" s="3">
        <f t="shared" si="100"/>
        <v>600</v>
      </c>
      <c r="BD112" s="3">
        <f t="shared" si="138"/>
        <v>600</v>
      </c>
      <c r="BE112" s="3">
        <f t="shared" si="166"/>
        <v>600</v>
      </c>
      <c r="BF112" s="3">
        <f t="shared" si="185"/>
        <v>600</v>
      </c>
      <c r="BG112" s="32">
        <f t="shared" si="214"/>
        <v>600</v>
      </c>
      <c r="BH112" s="69"/>
      <c r="BI112" s="70">
        <f t="shared" si="215"/>
        <v>-2203731229.1796951</v>
      </c>
      <c r="BJ112" s="69"/>
      <c r="BK112" s="34">
        <f t="shared" si="216"/>
        <v>650</v>
      </c>
      <c r="BL112" s="3">
        <f t="shared" si="189"/>
        <v>650</v>
      </c>
      <c r="BM112" s="3">
        <f t="shared" si="167"/>
        <v>650</v>
      </c>
      <c r="BN112" s="3">
        <f t="shared" si="146"/>
        <v>650</v>
      </c>
      <c r="BO112" s="3">
        <f t="shared" si="110"/>
        <v>650</v>
      </c>
      <c r="BP112" s="3">
        <f t="shared" si="300"/>
        <v>650</v>
      </c>
      <c r="BQ112" s="3">
        <f t="shared" si="300"/>
        <v>650</v>
      </c>
      <c r="BR112" s="3">
        <f t="shared" si="300"/>
        <v>650</v>
      </c>
      <c r="BS112" s="3">
        <f t="shared" si="300"/>
        <v>650</v>
      </c>
      <c r="BT112" s="3">
        <f t="shared" si="300"/>
        <v>650</v>
      </c>
      <c r="BU112" s="3">
        <f t="shared" si="300"/>
        <v>650</v>
      </c>
      <c r="BV112" s="3">
        <f t="shared" si="300"/>
        <v>650</v>
      </c>
      <c r="BW112" s="3">
        <f t="shared" si="300"/>
        <v>650</v>
      </c>
      <c r="BX112" s="3">
        <f t="shared" si="300"/>
        <v>650</v>
      </c>
      <c r="BY112" s="5">
        <v>17</v>
      </c>
      <c r="BZ112" s="6">
        <f t="shared" si="274"/>
        <v>0.14814814814814814</v>
      </c>
      <c r="CC112" s="94"/>
      <c r="CD112" s="95"/>
      <c r="CE112" s="5">
        <v>17</v>
      </c>
      <c r="CF112" s="6">
        <f t="shared" si="275"/>
        <v>0.14814814814814814</v>
      </c>
      <c r="CG112" s="3">
        <f t="shared" si="301"/>
        <v>600</v>
      </c>
      <c r="CH112" s="3">
        <f t="shared" si="301"/>
        <v>600</v>
      </c>
      <c r="CI112" s="3">
        <f t="shared" si="301"/>
        <v>600</v>
      </c>
      <c r="CJ112" s="3">
        <f t="shared" si="301"/>
        <v>600</v>
      </c>
      <c r="CK112" s="3">
        <f t="shared" si="301"/>
        <v>600</v>
      </c>
      <c r="CL112" s="3">
        <f t="shared" si="301"/>
        <v>600</v>
      </c>
      <c r="CM112" s="3">
        <f t="shared" si="301"/>
        <v>600</v>
      </c>
      <c r="CN112" s="3">
        <f t="shared" si="301"/>
        <v>600</v>
      </c>
      <c r="CO112" s="3">
        <f t="shared" si="301"/>
        <v>600</v>
      </c>
      <c r="CP112" s="3">
        <f t="shared" si="111"/>
        <v>600</v>
      </c>
      <c r="CQ112" s="3">
        <f t="shared" si="147"/>
        <v>600</v>
      </c>
      <c r="CR112" s="3">
        <f t="shared" si="168"/>
        <v>600</v>
      </c>
      <c r="CS112" s="3">
        <f t="shared" si="190"/>
        <v>600</v>
      </c>
      <c r="CT112" s="3">
        <f t="shared" si="217"/>
        <v>600</v>
      </c>
      <c r="CU112" s="3">
        <f t="shared" ref="CU112:CW112" si="329">$L$2/($L$3-$L$4*CT112)</f>
        <v>-1.6746678575415876E-3</v>
      </c>
      <c r="CV112" s="3">
        <f t="shared" si="329"/>
        <v>0.34863354230673421</v>
      </c>
      <c r="CW112" s="3">
        <f t="shared" si="329"/>
        <v>0.39713536344133415</v>
      </c>
      <c r="CX112" s="3">
        <f t="shared" si="219"/>
        <v>650</v>
      </c>
      <c r="CY112" s="3">
        <f t="shared" si="192"/>
        <v>650</v>
      </c>
      <c r="CZ112" s="3">
        <f t="shared" si="169"/>
        <v>650</v>
      </c>
      <c r="DA112" s="3">
        <f t="shared" si="148"/>
        <v>650</v>
      </c>
      <c r="DB112" s="3">
        <f t="shared" si="113"/>
        <v>650</v>
      </c>
      <c r="DC112" s="3">
        <f t="shared" si="303"/>
        <v>650</v>
      </c>
      <c r="DD112" s="3">
        <f t="shared" si="303"/>
        <v>650</v>
      </c>
      <c r="DE112" s="3">
        <f t="shared" si="303"/>
        <v>650</v>
      </c>
      <c r="DF112" s="3">
        <f t="shared" si="303"/>
        <v>650</v>
      </c>
      <c r="DG112" s="3">
        <f t="shared" si="303"/>
        <v>650</v>
      </c>
      <c r="DH112" s="3">
        <f t="shared" si="303"/>
        <v>650</v>
      </c>
      <c r="DI112" s="3">
        <f t="shared" si="303"/>
        <v>650</v>
      </c>
      <c r="DJ112" s="3">
        <f t="shared" si="303"/>
        <v>650</v>
      </c>
      <c r="DK112" s="3">
        <f t="shared" si="303"/>
        <v>650</v>
      </c>
      <c r="DL112" s="5">
        <v>17</v>
      </c>
      <c r="DM112" s="6">
        <f t="shared" si="277"/>
        <v>0.14814814814814814</v>
      </c>
      <c r="DQ112" s="94"/>
      <c r="DR112" s="95"/>
      <c r="DS112" s="5">
        <v>17</v>
      </c>
      <c r="DT112" s="6">
        <f t="shared" si="278"/>
        <v>0.14814814814814814</v>
      </c>
      <c r="DU112" s="3">
        <f t="shared" si="304"/>
        <v>600</v>
      </c>
      <c r="DV112" s="3">
        <f t="shared" si="304"/>
        <v>600</v>
      </c>
      <c r="DW112" s="3">
        <f t="shared" si="304"/>
        <v>600</v>
      </c>
      <c r="DX112" s="3">
        <f t="shared" si="304"/>
        <v>600</v>
      </c>
      <c r="DY112" s="3">
        <f t="shared" si="304"/>
        <v>600</v>
      </c>
      <c r="DZ112" s="3">
        <f t="shared" si="304"/>
        <v>600</v>
      </c>
      <c r="EA112" s="3">
        <f t="shared" si="304"/>
        <v>600</v>
      </c>
      <c r="EB112" s="3">
        <f t="shared" si="304"/>
        <v>600</v>
      </c>
      <c r="EC112" s="3">
        <f t="shared" si="304"/>
        <v>600</v>
      </c>
      <c r="ED112" s="3">
        <f t="shared" si="114"/>
        <v>600</v>
      </c>
      <c r="EE112" s="3">
        <f t="shared" si="149"/>
        <v>600</v>
      </c>
      <c r="EF112" s="3">
        <f t="shared" si="170"/>
        <v>600</v>
      </c>
      <c r="EG112" s="3">
        <f t="shared" si="193"/>
        <v>600</v>
      </c>
      <c r="EH112" s="3">
        <f t="shared" si="220"/>
        <v>600</v>
      </c>
      <c r="EI112" s="3">
        <f t="shared" si="227"/>
        <v>613.41707828759093</v>
      </c>
      <c r="EJ112" s="3">
        <f t="shared" si="221"/>
        <v>399.43618068318125</v>
      </c>
      <c r="EK112" s="3">
        <f t="shared" si="222"/>
        <v>158.63023278723361</v>
      </c>
      <c r="EL112" s="3">
        <f t="shared" si="223"/>
        <v>650</v>
      </c>
      <c r="EM112" s="3">
        <f t="shared" si="198"/>
        <v>650</v>
      </c>
      <c r="EN112" s="3">
        <f t="shared" si="177"/>
        <v>650</v>
      </c>
      <c r="EO112" s="3">
        <f t="shared" si="158"/>
        <v>650</v>
      </c>
      <c r="EP112" s="3">
        <f t="shared" si="125"/>
        <v>650</v>
      </c>
      <c r="EQ112" s="3">
        <f t="shared" si="305"/>
        <v>650</v>
      </c>
      <c r="ER112" s="3">
        <f t="shared" si="305"/>
        <v>650</v>
      </c>
      <c r="ES112" s="3">
        <f t="shared" si="305"/>
        <v>650</v>
      </c>
      <c r="ET112" s="3">
        <f t="shared" si="305"/>
        <v>650</v>
      </c>
      <c r="EU112" s="3">
        <f t="shared" si="305"/>
        <v>650</v>
      </c>
      <c r="EV112" s="3">
        <f t="shared" si="305"/>
        <v>650</v>
      </c>
      <c r="EW112" s="3">
        <f t="shared" si="305"/>
        <v>650</v>
      </c>
      <c r="EX112" s="3">
        <f t="shared" si="305"/>
        <v>650</v>
      </c>
      <c r="EY112" s="3">
        <f t="shared" si="305"/>
        <v>650</v>
      </c>
      <c r="EZ112" s="5">
        <v>17</v>
      </c>
      <c r="FA112" s="6">
        <f t="shared" si="279"/>
        <v>0.14814814814814814</v>
      </c>
    </row>
    <row r="113" spans="3:157" ht="15" customHeight="1" x14ac:dyDescent="0.3">
      <c r="C113" s="94"/>
      <c r="D113" s="95"/>
      <c r="E113" s="5">
        <v>16</v>
      </c>
      <c r="F113" s="6">
        <f t="shared" si="269"/>
        <v>0.1388888888888889</v>
      </c>
      <c r="G113" s="3">
        <f t="shared" si="295"/>
        <v>600</v>
      </c>
      <c r="H113" s="3">
        <f t="shared" si="295"/>
        <v>600</v>
      </c>
      <c r="I113" s="3">
        <f t="shared" si="295"/>
        <v>600</v>
      </c>
      <c r="J113" s="3">
        <f t="shared" si="295"/>
        <v>600</v>
      </c>
      <c r="K113" s="3">
        <f t="shared" si="295"/>
        <v>600</v>
      </c>
      <c r="L113" s="3">
        <f t="shared" si="295"/>
        <v>600</v>
      </c>
      <c r="M113" s="3">
        <f t="shared" si="295"/>
        <v>600</v>
      </c>
      <c r="N113" s="3">
        <f t="shared" si="295"/>
        <v>600</v>
      </c>
      <c r="O113" s="3">
        <f t="shared" si="295"/>
        <v>600</v>
      </c>
      <c r="P113" s="3">
        <f t="shared" si="87"/>
        <v>600</v>
      </c>
      <c r="Q113" s="3">
        <f t="shared" si="129"/>
        <v>600</v>
      </c>
      <c r="R113" s="3">
        <f t="shared" si="159"/>
        <v>600</v>
      </c>
      <c r="S113" s="3">
        <f t="shared" si="178"/>
        <v>600</v>
      </c>
      <c r="T113" s="3">
        <f t="shared" si="327"/>
        <v>614.34591236012648</v>
      </c>
      <c r="U113" s="3">
        <f t="shared" si="181"/>
        <v>615.28787417451656</v>
      </c>
      <c r="V113" s="3">
        <f t="shared" si="181"/>
        <v>616.32544208048284</v>
      </c>
      <c r="W113" s="3">
        <f t="shared" si="181"/>
        <v>617.49057029942207</v>
      </c>
      <c r="X113" s="3">
        <f t="shared" ref="X113" si="330">($F$6*$B$5*Y50+$F$4*W50)/($F$4+$F$6*$B$5)</f>
        <v>618.74565678593888</v>
      </c>
      <c r="Y113" s="3">
        <f t="shared" si="184"/>
        <v>650</v>
      </c>
      <c r="Z113" s="3">
        <f t="shared" si="165"/>
        <v>650</v>
      </c>
      <c r="AA113" s="3">
        <f t="shared" si="137"/>
        <v>650</v>
      </c>
      <c r="AB113" s="3">
        <f t="shared" si="99"/>
        <v>650</v>
      </c>
      <c r="AC113" s="3">
        <f t="shared" si="298"/>
        <v>650</v>
      </c>
      <c r="AD113" s="3">
        <f t="shared" si="298"/>
        <v>650</v>
      </c>
      <c r="AE113" s="3">
        <f t="shared" si="298"/>
        <v>650</v>
      </c>
      <c r="AF113" s="3">
        <f t="shared" si="298"/>
        <v>650</v>
      </c>
      <c r="AG113" s="3">
        <f t="shared" si="298"/>
        <v>650</v>
      </c>
      <c r="AH113" s="3">
        <f t="shared" si="298"/>
        <v>650</v>
      </c>
      <c r="AI113" s="3">
        <f t="shared" si="298"/>
        <v>650</v>
      </c>
      <c r="AJ113" s="3">
        <f t="shared" si="298"/>
        <v>650</v>
      </c>
      <c r="AK113" s="3">
        <f t="shared" si="298"/>
        <v>650</v>
      </c>
      <c r="AL113" s="5">
        <v>16</v>
      </c>
      <c r="AM113" s="6">
        <f t="shared" si="272"/>
        <v>0.1388888888888889</v>
      </c>
      <c r="AP113" s="102"/>
      <c r="AQ113" s="101"/>
      <c r="AR113" s="5">
        <v>16</v>
      </c>
      <c r="AS113" s="6">
        <f t="shared" si="273"/>
        <v>0.1388888888888889</v>
      </c>
      <c r="AT113" s="3">
        <f t="shared" si="299"/>
        <v>600</v>
      </c>
      <c r="AU113" s="3">
        <f t="shared" si="299"/>
        <v>600</v>
      </c>
      <c r="AV113" s="3">
        <f t="shared" si="299"/>
        <v>600</v>
      </c>
      <c r="AW113" s="3">
        <f t="shared" si="299"/>
        <v>600</v>
      </c>
      <c r="AX113" s="3">
        <f t="shared" si="299"/>
        <v>600</v>
      </c>
      <c r="AY113" s="3">
        <f t="shared" si="299"/>
        <v>600</v>
      </c>
      <c r="AZ113" s="3">
        <f t="shared" si="299"/>
        <v>600</v>
      </c>
      <c r="BA113" s="3">
        <f t="shared" si="299"/>
        <v>600</v>
      </c>
      <c r="BB113" s="3">
        <f t="shared" si="299"/>
        <v>600</v>
      </c>
      <c r="BC113" s="3">
        <f t="shared" si="100"/>
        <v>600</v>
      </c>
      <c r="BD113" s="3">
        <f t="shared" si="138"/>
        <v>600</v>
      </c>
      <c r="BE113" s="3">
        <f t="shared" si="166"/>
        <v>600</v>
      </c>
      <c r="BF113" s="66">
        <f t="shared" si="185"/>
        <v>600</v>
      </c>
      <c r="BG113" s="69"/>
      <c r="BH113" s="26">
        <f t="shared" ref="BH113:BH115" si="331">-($F$3*$F$2)/$B$8*U50</f>
        <v>-2207257083.3190398</v>
      </c>
      <c r="BI113" s="3">
        <f t="shared" si="215"/>
        <v>-2210847586.4890652</v>
      </c>
      <c r="BJ113" s="30">
        <f t="shared" ref="BJ113:BJ115" si="332">-($F$3*$F$2)/$B$8*W50</f>
        <v>-2215183739.0065551</v>
      </c>
      <c r="BK113" s="69"/>
      <c r="BL113" s="23">
        <f t="shared" si="189"/>
        <v>650</v>
      </c>
      <c r="BM113" s="3">
        <f t="shared" si="167"/>
        <v>650</v>
      </c>
      <c r="BN113" s="3">
        <f t="shared" si="146"/>
        <v>650</v>
      </c>
      <c r="BO113" s="3">
        <f t="shared" si="110"/>
        <v>650</v>
      </c>
      <c r="BP113" s="3">
        <f t="shared" si="300"/>
        <v>650</v>
      </c>
      <c r="BQ113" s="3">
        <f t="shared" si="300"/>
        <v>650</v>
      </c>
      <c r="BR113" s="3">
        <f t="shared" si="300"/>
        <v>650</v>
      </c>
      <c r="BS113" s="3">
        <f t="shared" si="300"/>
        <v>650</v>
      </c>
      <c r="BT113" s="3">
        <f t="shared" si="300"/>
        <v>650</v>
      </c>
      <c r="BU113" s="3">
        <f t="shared" si="300"/>
        <v>650</v>
      </c>
      <c r="BV113" s="3">
        <f t="shared" si="300"/>
        <v>650</v>
      </c>
      <c r="BW113" s="3">
        <f t="shared" si="300"/>
        <v>650</v>
      </c>
      <c r="BX113" s="3">
        <f t="shared" si="300"/>
        <v>650</v>
      </c>
      <c r="BY113" s="5">
        <v>16</v>
      </c>
      <c r="BZ113" s="6">
        <f t="shared" si="274"/>
        <v>0.1388888888888889</v>
      </c>
      <c r="CC113" s="94"/>
      <c r="CD113" s="95"/>
      <c r="CE113" s="5">
        <v>16</v>
      </c>
      <c r="CF113" s="6">
        <f t="shared" si="275"/>
        <v>0.1388888888888889</v>
      </c>
      <c r="CG113" s="3">
        <f t="shared" si="301"/>
        <v>600</v>
      </c>
      <c r="CH113" s="3">
        <f t="shared" si="301"/>
        <v>600</v>
      </c>
      <c r="CI113" s="3">
        <f t="shared" si="301"/>
        <v>600</v>
      </c>
      <c r="CJ113" s="3">
        <f t="shared" si="301"/>
        <v>600</v>
      </c>
      <c r="CK113" s="3">
        <f t="shared" si="301"/>
        <v>600</v>
      </c>
      <c r="CL113" s="3">
        <f t="shared" si="301"/>
        <v>600</v>
      </c>
      <c r="CM113" s="3">
        <f t="shared" si="301"/>
        <v>600</v>
      </c>
      <c r="CN113" s="3">
        <f t="shared" si="301"/>
        <v>600</v>
      </c>
      <c r="CO113" s="3">
        <f t="shared" si="301"/>
        <v>600</v>
      </c>
      <c r="CP113" s="3">
        <f t="shared" si="111"/>
        <v>600</v>
      </c>
      <c r="CQ113" s="3">
        <f t="shared" si="147"/>
        <v>600</v>
      </c>
      <c r="CR113" s="3">
        <f t="shared" si="168"/>
        <v>600</v>
      </c>
      <c r="CS113" s="3">
        <f t="shared" si="190"/>
        <v>600</v>
      </c>
      <c r="CT113" s="3">
        <v>0</v>
      </c>
      <c r="CU113" s="3">
        <f t="shared" ref="CU113:CW113" si="333">$L$2/($L$3-$L$4*CT113)</f>
        <v>0.34883720930232553</v>
      </c>
      <c r="CV113" s="3">
        <f t="shared" si="333"/>
        <v>0.39716748768472904</v>
      </c>
      <c r="CW113" s="3">
        <f t="shared" si="333"/>
        <v>0.40494040593779607</v>
      </c>
      <c r="CX113" s="3">
        <f t="shared" ref="CX113" si="334">$L$2/($L$3-$L$4*CW113)</f>
        <v>0.4062190081621499</v>
      </c>
      <c r="CY113" s="3">
        <f t="shared" si="192"/>
        <v>650</v>
      </c>
      <c r="CZ113" s="3">
        <f t="shared" si="169"/>
        <v>650</v>
      </c>
      <c r="DA113" s="3">
        <f t="shared" si="148"/>
        <v>650</v>
      </c>
      <c r="DB113" s="3">
        <f t="shared" si="113"/>
        <v>650</v>
      </c>
      <c r="DC113" s="3">
        <f t="shared" si="303"/>
        <v>650</v>
      </c>
      <c r="DD113" s="3">
        <f t="shared" si="303"/>
        <v>650</v>
      </c>
      <c r="DE113" s="3">
        <f t="shared" si="303"/>
        <v>650</v>
      </c>
      <c r="DF113" s="3">
        <f t="shared" si="303"/>
        <v>650</v>
      </c>
      <c r="DG113" s="3">
        <f t="shared" si="303"/>
        <v>650</v>
      </c>
      <c r="DH113" s="3">
        <f t="shared" si="303"/>
        <v>650</v>
      </c>
      <c r="DI113" s="3">
        <f t="shared" si="303"/>
        <v>650</v>
      </c>
      <c r="DJ113" s="3">
        <f t="shared" si="303"/>
        <v>650</v>
      </c>
      <c r="DK113" s="3">
        <f t="shared" si="303"/>
        <v>650</v>
      </c>
      <c r="DL113" s="5">
        <v>16</v>
      </c>
      <c r="DM113" s="6">
        <f t="shared" si="277"/>
        <v>0.1388888888888889</v>
      </c>
      <c r="DQ113" s="94"/>
      <c r="DR113" s="95"/>
      <c r="DS113" s="5">
        <v>16</v>
      </c>
      <c r="DT113" s="6">
        <f t="shared" si="278"/>
        <v>0.1388888888888889</v>
      </c>
      <c r="DU113" s="3">
        <f t="shared" si="304"/>
        <v>600</v>
      </c>
      <c r="DV113" s="3">
        <f t="shared" si="304"/>
        <v>600</v>
      </c>
      <c r="DW113" s="3">
        <f t="shared" si="304"/>
        <v>600</v>
      </c>
      <c r="DX113" s="3">
        <f t="shared" si="304"/>
        <v>600</v>
      </c>
      <c r="DY113" s="3">
        <f t="shared" si="304"/>
        <v>600</v>
      </c>
      <c r="DZ113" s="3">
        <f t="shared" si="304"/>
        <v>600</v>
      </c>
      <c r="EA113" s="3">
        <f t="shared" si="304"/>
        <v>600</v>
      </c>
      <c r="EB113" s="3">
        <f t="shared" si="304"/>
        <v>600</v>
      </c>
      <c r="EC113" s="3">
        <f t="shared" si="304"/>
        <v>600</v>
      </c>
      <c r="ED113" s="3">
        <f t="shared" si="114"/>
        <v>600</v>
      </c>
      <c r="EE113" s="3">
        <f t="shared" si="149"/>
        <v>600</v>
      </c>
      <c r="EF113" s="3">
        <f t="shared" si="170"/>
        <v>600</v>
      </c>
      <c r="EG113" s="3">
        <f t="shared" si="193"/>
        <v>600</v>
      </c>
      <c r="EH113" s="3">
        <f t="shared" si="227"/>
        <v>614.34591236012648</v>
      </c>
      <c r="EI113" s="3">
        <f t="shared" ref="EI113:EI115" si="335">(EH113*$L$4-BH113)/($L$3-$L$4*CT113)</f>
        <v>400.29062693713888</v>
      </c>
      <c r="EJ113" s="3">
        <f t="shared" si="221"/>
        <v>371.07826360565087</v>
      </c>
      <c r="EK113" s="3">
        <f t="shared" si="222"/>
        <v>366.93545286827577</v>
      </c>
      <c r="EL113" s="3">
        <f t="shared" ref="EL113:EL115" si="336">(EK113*$L$4-BK113)/($L$3-$L$4*CW113)</f>
        <v>149.05615572368029</v>
      </c>
      <c r="EM113" s="3">
        <f t="shared" si="198"/>
        <v>650</v>
      </c>
      <c r="EN113" s="3">
        <f t="shared" si="177"/>
        <v>650</v>
      </c>
      <c r="EO113" s="3">
        <f t="shared" si="158"/>
        <v>650</v>
      </c>
      <c r="EP113" s="3">
        <f t="shared" si="125"/>
        <v>650</v>
      </c>
      <c r="EQ113" s="3">
        <f t="shared" si="305"/>
        <v>650</v>
      </c>
      <c r="ER113" s="3">
        <f t="shared" si="305"/>
        <v>650</v>
      </c>
      <c r="ES113" s="3">
        <f t="shared" si="305"/>
        <v>650</v>
      </c>
      <c r="ET113" s="3">
        <f t="shared" si="305"/>
        <v>650</v>
      </c>
      <c r="EU113" s="3">
        <f t="shared" si="305"/>
        <v>650</v>
      </c>
      <c r="EV113" s="3">
        <f t="shared" si="305"/>
        <v>650</v>
      </c>
      <c r="EW113" s="3">
        <f t="shared" si="305"/>
        <v>650</v>
      </c>
      <c r="EX113" s="3">
        <f t="shared" si="305"/>
        <v>650</v>
      </c>
      <c r="EY113" s="3">
        <f t="shared" si="305"/>
        <v>650</v>
      </c>
      <c r="EZ113" s="5">
        <v>16</v>
      </c>
      <c r="FA113" s="6">
        <f t="shared" si="279"/>
        <v>0.1388888888888889</v>
      </c>
    </row>
    <row r="114" spans="3:157" ht="15" customHeight="1" x14ac:dyDescent="0.3">
      <c r="C114" s="94"/>
      <c r="D114" s="95"/>
      <c r="E114" s="5">
        <v>15</v>
      </c>
      <c r="F114" s="6">
        <f t="shared" si="269"/>
        <v>0.12962962962962962</v>
      </c>
      <c r="G114" s="3">
        <f t="shared" ref="G114:O121" si="337">$R$2</f>
        <v>600</v>
      </c>
      <c r="H114" s="3">
        <f t="shared" si="337"/>
        <v>600</v>
      </c>
      <c r="I114" s="3">
        <f t="shared" si="337"/>
        <v>600</v>
      </c>
      <c r="J114" s="3">
        <f t="shared" si="337"/>
        <v>600</v>
      </c>
      <c r="K114" s="3">
        <f t="shared" si="337"/>
        <v>600</v>
      </c>
      <c r="L114" s="3">
        <f t="shared" si="337"/>
        <v>600</v>
      </c>
      <c r="M114" s="3">
        <f t="shared" si="337"/>
        <v>600</v>
      </c>
      <c r="N114" s="3">
        <f t="shared" si="337"/>
        <v>600</v>
      </c>
      <c r="O114" s="3">
        <f t="shared" si="337"/>
        <v>600</v>
      </c>
      <c r="P114" s="3">
        <f t="shared" si="87"/>
        <v>600</v>
      </c>
      <c r="Q114" s="3">
        <f t="shared" si="129"/>
        <v>600</v>
      </c>
      <c r="R114" s="3">
        <f t="shared" si="159"/>
        <v>600</v>
      </c>
      <c r="S114" s="3">
        <f t="shared" si="178"/>
        <v>600</v>
      </c>
      <c r="T114" s="3">
        <f t="shared" si="327"/>
        <v>615.28405878233718</v>
      </c>
      <c r="U114" s="3">
        <f t="shared" si="181"/>
        <v>616.26237743053844</v>
      </c>
      <c r="V114" s="3">
        <f t="shared" si="181"/>
        <v>617.3206774997592</v>
      </c>
      <c r="W114" s="3">
        <f t="shared" si="181"/>
        <v>618.46489345891541</v>
      </c>
      <c r="X114" s="3">
        <f t="shared" ref="X114" si="338">($F$6*$B$5*Y51+$F$4*W51)/($F$4+$F$6*$B$5)</f>
        <v>619.68971977694116</v>
      </c>
      <c r="Y114" s="3">
        <f t="shared" si="184"/>
        <v>650</v>
      </c>
      <c r="Z114" s="3">
        <f t="shared" si="165"/>
        <v>650</v>
      </c>
      <c r="AA114" s="3">
        <f t="shared" si="137"/>
        <v>650</v>
      </c>
      <c r="AB114" s="3">
        <f t="shared" si="99"/>
        <v>650</v>
      </c>
      <c r="AC114" s="3">
        <f t="shared" ref="AC114:AK121" si="339">$R$3</f>
        <v>650</v>
      </c>
      <c r="AD114" s="3">
        <f t="shared" si="339"/>
        <v>650</v>
      </c>
      <c r="AE114" s="3">
        <f t="shared" si="339"/>
        <v>650</v>
      </c>
      <c r="AF114" s="3">
        <f t="shared" si="339"/>
        <v>650</v>
      </c>
      <c r="AG114" s="3">
        <f t="shared" si="339"/>
        <v>650</v>
      </c>
      <c r="AH114" s="3">
        <f t="shared" si="339"/>
        <v>650</v>
      </c>
      <c r="AI114" s="3">
        <f t="shared" si="339"/>
        <v>650</v>
      </c>
      <c r="AJ114" s="3">
        <f t="shared" si="339"/>
        <v>650</v>
      </c>
      <c r="AK114" s="3">
        <f t="shared" si="339"/>
        <v>650</v>
      </c>
      <c r="AL114" s="5">
        <v>15</v>
      </c>
      <c r="AM114" s="6">
        <f t="shared" si="272"/>
        <v>0.12962962962962962</v>
      </c>
      <c r="AP114" s="102"/>
      <c r="AQ114" s="101"/>
      <c r="AR114" s="5">
        <v>15</v>
      </c>
      <c r="AS114" s="6">
        <f t="shared" si="273"/>
        <v>0.12962962962962962</v>
      </c>
      <c r="AT114" s="3">
        <f t="shared" ref="AT114:BB121" si="340">$R$2</f>
        <v>600</v>
      </c>
      <c r="AU114" s="3">
        <f t="shared" si="340"/>
        <v>600</v>
      </c>
      <c r="AV114" s="3">
        <f t="shared" si="340"/>
        <v>600</v>
      </c>
      <c r="AW114" s="3">
        <f t="shared" si="340"/>
        <v>600</v>
      </c>
      <c r="AX114" s="3">
        <f t="shared" si="340"/>
        <v>600</v>
      </c>
      <c r="AY114" s="3">
        <f t="shared" si="340"/>
        <v>600</v>
      </c>
      <c r="AZ114" s="3">
        <f t="shared" si="340"/>
        <v>600</v>
      </c>
      <c r="BA114" s="3">
        <f t="shared" si="340"/>
        <v>600</v>
      </c>
      <c r="BB114" s="3">
        <f t="shared" si="340"/>
        <v>600</v>
      </c>
      <c r="BC114" s="3">
        <f t="shared" si="100"/>
        <v>600</v>
      </c>
      <c r="BD114" s="3">
        <f t="shared" si="138"/>
        <v>600</v>
      </c>
      <c r="BE114" s="3">
        <f t="shared" si="166"/>
        <v>600</v>
      </c>
      <c r="BF114" s="66">
        <f t="shared" si="185"/>
        <v>600</v>
      </c>
      <c r="BG114" s="69"/>
      <c r="BH114" s="23">
        <f t="shared" si="331"/>
        <v>-2210818287.1377516</v>
      </c>
      <c r="BI114" s="3">
        <f t="shared" si="215"/>
        <v>-2214590899.0848031</v>
      </c>
      <c r="BJ114" s="66">
        <f t="shared" si="332"/>
        <v>-2218718310.8448677</v>
      </c>
      <c r="BK114" s="69"/>
      <c r="BL114" s="23">
        <f t="shared" si="189"/>
        <v>650</v>
      </c>
      <c r="BM114" s="3">
        <f t="shared" si="167"/>
        <v>650</v>
      </c>
      <c r="BN114" s="3">
        <f t="shared" si="146"/>
        <v>650</v>
      </c>
      <c r="BO114" s="3">
        <f t="shared" si="110"/>
        <v>650</v>
      </c>
      <c r="BP114" s="3">
        <f t="shared" ref="BP114:BX121" si="341">$R$3</f>
        <v>650</v>
      </c>
      <c r="BQ114" s="3">
        <f t="shared" si="341"/>
        <v>650</v>
      </c>
      <c r="BR114" s="3">
        <f t="shared" si="341"/>
        <v>650</v>
      </c>
      <c r="BS114" s="3">
        <f t="shared" si="341"/>
        <v>650</v>
      </c>
      <c r="BT114" s="3">
        <f t="shared" si="341"/>
        <v>650</v>
      </c>
      <c r="BU114" s="3">
        <f t="shared" si="341"/>
        <v>650</v>
      </c>
      <c r="BV114" s="3">
        <f t="shared" si="341"/>
        <v>650</v>
      </c>
      <c r="BW114" s="3">
        <f t="shared" si="341"/>
        <v>650</v>
      </c>
      <c r="BX114" s="3">
        <f t="shared" si="341"/>
        <v>650</v>
      </c>
      <c r="BY114" s="5">
        <v>15</v>
      </c>
      <c r="BZ114" s="6">
        <f t="shared" si="274"/>
        <v>0.12962962962962962</v>
      </c>
      <c r="CC114" s="94"/>
      <c r="CD114" s="95"/>
      <c r="CE114" s="5">
        <v>15</v>
      </c>
      <c r="CF114" s="6">
        <f t="shared" si="275"/>
        <v>0.12962962962962962</v>
      </c>
      <c r="CG114" s="3">
        <f t="shared" ref="CG114:CO121" si="342">$R$2</f>
        <v>600</v>
      </c>
      <c r="CH114" s="3">
        <f t="shared" si="342"/>
        <v>600</v>
      </c>
      <c r="CI114" s="3">
        <f t="shared" si="342"/>
        <v>600</v>
      </c>
      <c r="CJ114" s="3">
        <f t="shared" si="342"/>
        <v>600</v>
      </c>
      <c r="CK114" s="3">
        <f t="shared" si="342"/>
        <v>600</v>
      </c>
      <c r="CL114" s="3">
        <f t="shared" si="342"/>
        <v>600</v>
      </c>
      <c r="CM114" s="3">
        <f t="shared" si="342"/>
        <v>600</v>
      </c>
      <c r="CN114" s="3">
        <f t="shared" si="342"/>
        <v>600</v>
      </c>
      <c r="CO114" s="3">
        <f t="shared" si="342"/>
        <v>600</v>
      </c>
      <c r="CP114" s="3">
        <f t="shared" si="111"/>
        <v>600</v>
      </c>
      <c r="CQ114" s="3">
        <f t="shared" si="147"/>
        <v>600</v>
      </c>
      <c r="CR114" s="3">
        <f t="shared" si="168"/>
        <v>600</v>
      </c>
      <c r="CS114" s="3">
        <f t="shared" si="190"/>
        <v>600</v>
      </c>
      <c r="CT114" s="3">
        <v>0</v>
      </c>
      <c r="CU114" s="3">
        <f t="shared" ref="CU114:CW114" si="343">$L$2/($L$3-$L$4*CT114)</f>
        <v>0.34883720930232553</v>
      </c>
      <c r="CV114" s="3">
        <f t="shared" si="343"/>
        <v>0.39716748768472904</v>
      </c>
      <c r="CW114" s="3">
        <f t="shared" si="343"/>
        <v>0.40494040593779607</v>
      </c>
      <c r="CX114" s="3">
        <f t="shared" ref="CX114" si="344">$L$2/($L$3-$L$4*CW114)</f>
        <v>0.4062190081621499</v>
      </c>
      <c r="CY114" s="3">
        <f t="shared" si="192"/>
        <v>650</v>
      </c>
      <c r="CZ114" s="3">
        <f t="shared" si="169"/>
        <v>650</v>
      </c>
      <c r="DA114" s="3">
        <f t="shared" si="148"/>
        <v>650</v>
      </c>
      <c r="DB114" s="3">
        <f t="shared" si="113"/>
        <v>650</v>
      </c>
      <c r="DC114" s="3">
        <f t="shared" ref="DC114:DK121" si="345">$R$3</f>
        <v>650</v>
      </c>
      <c r="DD114" s="3">
        <f t="shared" si="345"/>
        <v>650</v>
      </c>
      <c r="DE114" s="3">
        <f t="shared" si="345"/>
        <v>650</v>
      </c>
      <c r="DF114" s="3">
        <f t="shared" si="345"/>
        <v>650</v>
      </c>
      <c r="DG114" s="3">
        <f t="shared" si="345"/>
        <v>650</v>
      </c>
      <c r="DH114" s="3">
        <f t="shared" si="345"/>
        <v>650</v>
      </c>
      <c r="DI114" s="3">
        <f t="shared" si="345"/>
        <v>650</v>
      </c>
      <c r="DJ114" s="3">
        <f t="shared" si="345"/>
        <v>650</v>
      </c>
      <c r="DK114" s="3">
        <f t="shared" si="345"/>
        <v>650</v>
      </c>
      <c r="DL114" s="5">
        <v>15</v>
      </c>
      <c r="DM114" s="6">
        <f t="shared" si="277"/>
        <v>0.12962962962962962</v>
      </c>
      <c r="DQ114" s="94"/>
      <c r="DR114" s="95"/>
      <c r="DS114" s="5">
        <v>15</v>
      </c>
      <c r="DT114" s="6">
        <f t="shared" si="278"/>
        <v>0.12962962962962962</v>
      </c>
      <c r="DU114" s="3">
        <f t="shared" ref="DU114:EC121" si="346">$R$2</f>
        <v>600</v>
      </c>
      <c r="DV114" s="3">
        <f t="shared" si="346"/>
        <v>600</v>
      </c>
      <c r="DW114" s="3">
        <f t="shared" si="346"/>
        <v>600</v>
      </c>
      <c r="DX114" s="3">
        <f t="shared" si="346"/>
        <v>600</v>
      </c>
      <c r="DY114" s="3">
        <f t="shared" si="346"/>
        <v>600</v>
      </c>
      <c r="DZ114" s="3">
        <f t="shared" si="346"/>
        <v>600</v>
      </c>
      <c r="EA114" s="3">
        <f t="shared" si="346"/>
        <v>600</v>
      </c>
      <c r="EB114" s="3">
        <f t="shared" si="346"/>
        <v>600</v>
      </c>
      <c r="EC114" s="3">
        <f t="shared" si="346"/>
        <v>600</v>
      </c>
      <c r="ED114" s="3">
        <f t="shared" si="114"/>
        <v>600</v>
      </c>
      <c r="EE114" s="3">
        <f t="shared" si="149"/>
        <v>600</v>
      </c>
      <c r="EF114" s="3">
        <f t="shared" si="170"/>
        <v>600</v>
      </c>
      <c r="EG114" s="3">
        <f t="shared" si="193"/>
        <v>600</v>
      </c>
      <c r="EH114" s="3">
        <f t="shared" si="227"/>
        <v>615.28405878233718</v>
      </c>
      <c r="EI114" s="3">
        <f t="shared" si="335"/>
        <v>400.91795504690157</v>
      </c>
      <c r="EJ114" s="3">
        <f t="shared" si="221"/>
        <v>371.68652954347817</v>
      </c>
      <c r="EK114" s="3">
        <f t="shared" si="222"/>
        <v>367.52748677696172</v>
      </c>
      <c r="EL114" s="3">
        <f t="shared" si="336"/>
        <v>149.29665115086505</v>
      </c>
      <c r="EM114" s="3">
        <f t="shared" si="198"/>
        <v>650</v>
      </c>
      <c r="EN114" s="3">
        <f t="shared" si="177"/>
        <v>650</v>
      </c>
      <c r="EO114" s="3">
        <f t="shared" si="158"/>
        <v>650</v>
      </c>
      <c r="EP114" s="3">
        <f t="shared" si="125"/>
        <v>650</v>
      </c>
      <c r="EQ114" s="3">
        <f t="shared" ref="EQ114:EY121" si="347">$R$3</f>
        <v>650</v>
      </c>
      <c r="ER114" s="3">
        <f t="shared" si="347"/>
        <v>650</v>
      </c>
      <c r="ES114" s="3">
        <f t="shared" si="347"/>
        <v>650</v>
      </c>
      <c r="ET114" s="3">
        <f t="shared" si="347"/>
        <v>650</v>
      </c>
      <c r="EU114" s="3">
        <f t="shared" si="347"/>
        <v>650</v>
      </c>
      <c r="EV114" s="3">
        <f t="shared" si="347"/>
        <v>650</v>
      </c>
      <c r="EW114" s="3">
        <f t="shared" si="347"/>
        <v>650</v>
      </c>
      <c r="EX114" s="3">
        <f t="shared" si="347"/>
        <v>650</v>
      </c>
      <c r="EY114" s="3">
        <f t="shared" si="347"/>
        <v>650</v>
      </c>
      <c r="EZ114" s="5">
        <v>15</v>
      </c>
      <c r="FA114" s="6">
        <f t="shared" si="279"/>
        <v>0.12962962962962962</v>
      </c>
    </row>
    <row r="115" spans="3:157" ht="15" customHeight="1" x14ac:dyDescent="0.3">
      <c r="C115" s="94"/>
      <c r="D115" s="95"/>
      <c r="E115" s="5">
        <v>14</v>
      </c>
      <c r="F115" s="6">
        <f t="shared" si="269"/>
        <v>0.12037037037037036</v>
      </c>
      <c r="G115" s="3">
        <f t="shared" si="337"/>
        <v>600</v>
      </c>
      <c r="H115" s="3">
        <f t="shared" si="337"/>
        <v>600</v>
      </c>
      <c r="I115" s="3">
        <f t="shared" si="337"/>
        <v>600</v>
      </c>
      <c r="J115" s="3">
        <f t="shared" si="337"/>
        <v>600</v>
      </c>
      <c r="K115" s="3">
        <f t="shared" si="337"/>
        <v>600</v>
      </c>
      <c r="L115" s="3">
        <f t="shared" si="337"/>
        <v>600</v>
      </c>
      <c r="M115" s="3">
        <f t="shared" si="337"/>
        <v>600</v>
      </c>
      <c r="N115" s="3">
        <f t="shared" si="337"/>
        <v>600</v>
      </c>
      <c r="O115" s="3">
        <f t="shared" si="337"/>
        <v>600</v>
      </c>
      <c r="P115" s="3">
        <f t="shared" si="87"/>
        <v>600</v>
      </c>
      <c r="Q115" s="3">
        <f t="shared" si="129"/>
        <v>600</v>
      </c>
      <c r="R115" s="3">
        <f t="shared" si="159"/>
        <v>600</v>
      </c>
      <c r="S115" s="3">
        <f t="shared" si="178"/>
        <v>600</v>
      </c>
      <c r="T115" s="3">
        <f t="shared" ref="T115" si="348">($F$5*$B$5*S52+$F$4*U52)/($F$4+$F$5*$B$5)</f>
        <v>615.69739725070895</v>
      </c>
      <c r="U115" s="3">
        <f t="shared" si="181"/>
        <v>616.68861051431895</v>
      </c>
      <c r="V115" s="3">
        <f t="shared" si="181"/>
        <v>617.75021376867448</v>
      </c>
      <c r="W115" s="3">
        <f t="shared" si="181"/>
        <v>618.88584014965852</v>
      </c>
      <c r="X115" s="3">
        <f t="shared" ref="X115" si="349">($F$6*$B$5*Y52+$F$4*W52)/($F$4+$F$6*$B$5)</f>
        <v>620.09782672423069</v>
      </c>
      <c r="Y115" s="3">
        <f t="shared" si="184"/>
        <v>650</v>
      </c>
      <c r="Z115" s="3">
        <f t="shared" si="165"/>
        <v>650</v>
      </c>
      <c r="AA115" s="3">
        <f t="shared" si="137"/>
        <v>650</v>
      </c>
      <c r="AB115" s="3">
        <f t="shared" si="99"/>
        <v>650</v>
      </c>
      <c r="AC115" s="3">
        <f t="shared" si="339"/>
        <v>650</v>
      </c>
      <c r="AD115" s="3">
        <f t="shared" si="339"/>
        <v>650</v>
      </c>
      <c r="AE115" s="3">
        <f t="shared" si="339"/>
        <v>650</v>
      </c>
      <c r="AF115" s="3">
        <f t="shared" si="339"/>
        <v>650</v>
      </c>
      <c r="AG115" s="3">
        <f t="shared" si="339"/>
        <v>650</v>
      </c>
      <c r="AH115" s="3">
        <f t="shared" si="339"/>
        <v>650</v>
      </c>
      <c r="AI115" s="3">
        <f t="shared" si="339"/>
        <v>650</v>
      </c>
      <c r="AJ115" s="3">
        <f t="shared" si="339"/>
        <v>650</v>
      </c>
      <c r="AK115" s="3">
        <f t="shared" si="339"/>
        <v>650</v>
      </c>
      <c r="AL115" s="5">
        <v>14</v>
      </c>
      <c r="AM115" s="6">
        <f t="shared" si="272"/>
        <v>0.12037037037037036</v>
      </c>
      <c r="AP115" s="102"/>
      <c r="AQ115" s="101"/>
      <c r="AR115" s="5">
        <v>14</v>
      </c>
      <c r="AS115" s="6">
        <f t="shared" si="273"/>
        <v>0.12037037037037036</v>
      </c>
      <c r="AT115" s="3">
        <f t="shared" si="340"/>
        <v>600</v>
      </c>
      <c r="AU115" s="3">
        <f t="shared" si="340"/>
        <v>600</v>
      </c>
      <c r="AV115" s="3">
        <f t="shared" si="340"/>
        <v>600</v>
      </c>
      <c r="AW115" s="3">
        <f t="shared" si="340"/>
        <v>600</v>
      </c>
      <c r="AX115" s="3">
        <f t="shared" si="340"/>
        <v>600</v>
      </c>
      <c r="AY115" s="3">
        <f t="shared" si="340"/>
        <v>600</v>
      </c>
      <c r="AZ115" s="3">
        <f t="shared" si="340"/>
        <v>600</v>
      </c>
      <c r="BA115" s="3">
        <f t="shared" si="340"/>
        <v>600</v>
      </c>
      <c r="BB115" s="3">
        <f t="shared" si="340"/>
        <v>600</v>
      </c>
      <c r="BC115" s="3">
        <f t="shared" si="100"/>
        <v>600</v>
      </c>
      <c r="BD115" s="3">
        <f t="shared" si="138"/>
        <v>600</v>
      </c>
      <c r="BE115" s="3">
        <f t="shared" si="166"/>
        <v>600</v>
      </c>
      <c r="BF115" s="32">
        <f t="shared" si="185"/>
        <v>600</v>
      </c>
      <c r="BG115" s="69"/>
      <c r="BH115" s="23">
        <f t="shared" si="331"/>
        <v>-2212387319.9636908</v>
      </c>
      <c r="BI115" s="3">
        <f t="shared" si="215"/>
        <v>-2216181311.2577624</v>
      </c>
      <c r="BJ115" s="66">
        <f t="shared" si="332"/>
        <v>-2220246263.2555194</v>
      </c>
      <c r="BK115" s="69"/>
      <c r="BL115" s="34">
        <f t="shared" si="189"/>
        <v>650</v>
      </c>
      <c r="BM115" s="3">
        <f t="shared" si="167"/>
        <v>650</v>
      </c>
      <c r="BN115" s="3">
        <f t="shared" si="146"/>
        <v>650</v>
      </c>
      <c r="BO115" s="3">
        <f t="shared" si="110"/>
        <v>650</v>
      </c>
      <c r="BP115" s="3">
        <f t="shared" si="341"/>
        <v>650</v>
      </c>
      <c r="BQ115" s="3">
        <f t="shared" si="341"/>
        <v>650</v>
      </c>
      <c r="BR115" s="3">
        <f t="shared" si="341"/>
        <v>650</v>
      </c>
      <c r="BS115" s="3">
        <f t="shared" si="341"/>
        <v>650</v>
      </c>
      <c r="BT115" s="3">
        <f t="shared" si="341"/>
        <v>650</v>
      </c>
      <c r="BU115" s="3">
        <f t="shared" si="341"/>
        <v>650</v>
      </c>
      <c r="BV115" s="3">
        <f t="shared" si="341"/>
        <v>650</v>
      </c>
      <c r="BW115" s="3">
        <f t="shared" si="341"/>
        <v>650</v>
      </c>
      <c r="BX115" s="3">
        <f t="shared" si="341"/>
        <v>650</v>
      </c>
      <c r="BY115" s="5">
        <v>14</v>
      </c>
      <c r="BZ115" s="6">
        <f t="shared" si="274"/>
        <v>0.12037037037037036</v>
      </c>
      <c r="CC115" s="94"/>
      <c r="CD115" s="95"/>
      <c r="CE115" s="5">
        <v>14</v>
      </c>
      <c r="CF115" s="6">
        <f t="shared" si="275"/>
        <v>0.12037037037037036</v>
      </c>
      <c r="CG115" s="3">
        <f t="shared" si="342"/>
        <v>600</v>
      </c>
      <c r="CH115" s="3">
        <f t="shared" si="342"/>
        <v>600</v>
      </c>
      <c r="CI115" s="3">
        <f t="shared" si="342"/>
        <v>600</v>
      </c>
      <c r="CJ115" s="3">
        <f t="shared" si="342"/>
        <v>600</v>
      </c>
      <c r="CK115" s="3">
        <f t="shared" si="342"/>
        <v>600</v>
      </c>
      <c r="CL115" s="3">
        <f t="shared" si="342"/>
        <v>600</v>
      </c>
      <c r="CM115" s="3">
        <f t="shared" si="342"/>
        <v>600</v>
      </c>
      <c r="CN115" s="3">
        <f t="shared" si="342"/>
        <v>600</v>
      </c>
      <c r="CO115" s="3">
        <f t="shared" si="342"/>
        <v>600</v>
      </c>
      <c r="CP115" s="3">
        <f t="shared" si="111"/>
        <v>600</v>
      </c>
      <c r="CQ115" s="3">
        <f t="shared" si="147"/>
        <v>600</v>
      </c>
      <c r="CR115" s="3">
        <f t="shared" si="168"/>
        <v>600</v>
      </c>
      <c r="CS115" s="3">
        <f t="shared" si="190"/>
        <v>600</v>
      </c>
      <c r="CT115" s="3">
        <v>0</v>
      </c>
      <c r="CU115" s="3">
        <f t="shared" ref="CU115:CW115" si="350">$L$2/($L$3-$L$4*CT115)</f>
        <v>0.34883720930232553</v>
      </c>
      <c r="CV115" s="3">
        <f t="shared" si="350"/>
        <v>0.39716748768472904</v>
      </c>
      <c r="CW115" s="3">
        <f t="shared" si="350"/>
        <v>0.40494040593779607</v>
      </c>
      <c r="CX115" s="3">
        <f t="shared" ref="CX115" si="351">$L$2/($L$3-$L$4*CW115)</f>
        <v>0.4062190081621499</v>
      </c>
      <c r="CY115" s="3">
        <f t="shared" si="192"/>
        <v>650</v>
      </c>
      <c r="CZ115" s="3">
        <f t="shared" si="169"/>
        <v>650</v>
      </c>
      <c r="DA115" s="3">
        <f t="shared" si="148"/>
        <v>650</v>
      </c>
      <c r="DB115" s="3">
        <f t="shared" si="113"/>
        <v>650</v>
      </c>
      <c r="DC115" s="3">
        <f t="shared" si="345"/>
        <v>650</v>
      </c>
      <c r="DD115" s="3">
        <f t="shared" si="345"/>
        <v>650</v>
      </c>
      <c r="DE115" s="3">
        <f t="shared" si="345"/>
        <v>650</v>
      </c>
      <c r="DF115" s="3">
        <f t="shared" si="345"/>
        <v>650</v>
      </c>
      <c r="DG115" s="3">
        <f t="shared" si="345"/>
        <v>650</v>
      </c>
      <c r="DH115" s="3">
        <f t="shared" si="345"/>
        <v>650</v>
      </c>
      <c r="DI115" s="3">
        <f t="shared" si="345"/>
        <v>650</v>
      </c>
      <c r="DJ115" s="3">
        <f t="shared" si="345"/>
        <v>650</v>
      </c>
      <c r="DK115" s="3">
        <f t="shared" si="345"/>
        <v>650</v>
      </c>
      <c r="DL115" s="5">
        <v>14</v>
      </c>
      <c r="DM115" s="6">
        <f t="shared" si="277"/>
        <v>0.12037037037037036</v>
      </c>
      <c r="DQ115" s="94"/>
      <c r="DR115" s="95"/>
      <c r="DS115" s="5">
        <v>14</v>
      </c>
      <c r="DT115" s="6">
        <f t="shared" si="278"/>
        <v>0.12037037037037036</v>
      </c>
      <c r="DU115" s="3">
        <f t="shared" si="346"/>
        <v>600</v>
      </c>
      <c r="DV115" s="3">
        <f t="shared" si="346"/>
        <v>600</v>
      </c>
      <c r="DW115" s="3">
        <f t="shared" si="346"/>
        <v>600</v>
      </c>
      <c r="DX115" s="3">
        <f t="shared" si="346"/>
        <v>600</v>
      </c>
      <c r="DY115" s="3">
        <f t="shared" si="346"/>
        <v>600</v>
      </c>
      <c r="DZ115" s="3">
        <f t="shared" si="346"/>
        <v>600</v>
      </c>
      <c r="EA115" s="3">
        <f t="shared" si="346"/>
        <v>600</v>
      </c>
      <c r="EB115" s="3">
        <f t="shared" si="346"/>
        <v>600</v>
      </c>
      <c r="EC115" s="3">
        <f t="shared" si="346"/>
        <v>600</v>
      </c>
      <c r="ED115" s="3">
        <f t="shared" si="114"/>
        <v>600</v>
      </c>
      <c r="EE115" s="3">
        <f t="shared" si="149"/>
        <v>600</v>
      </c>
      <c r="EF115" s="3">
        <f t="shared" si="170"/>
        <v>600</v>
      </c>
      <c r="EG115" s="3">
        <f t="shared" si="193"/>
        <v>600</v>
      </c>
      <c r="EH115" s="3">
        <f t="shared" ref="EC115:EH122" si="352">T115</f>
        <v>615.69739725070895</v>
      </c>
      <c r="EI115" s="3">
        <f t="shared" si="335"/>
        <v>401.19434989733952</v>
      </c>
      <c r="EJ115" s="3">
        <f t="shared" si="221"/>
        <v>371.94887947278187</v>
      </c>
      <c r="EK115" s="3">
        <f t="shared" si="222"/>
        <v>367.78317447480339</v>
      </c>
      <c r="EL115" s="3">
        <f t="shared" si="336"/>
        <v>149.40051635388156</v>
      </c>
      <c r="EM115" s="3">
        <f t="shared" si="198"/>
        <v>650</v>
      </c>
      <c r="EN115" s="3">
        <f t="shared" si="177"/>
        <v>650</v>
      </c>
      <c r="EO115" s="3">
        <f t="shared" si="158"/>
        <v>650</v>
      </c>
      <c r="EP115" s="3">
        <f t="shared" si="125"/>
        <v>650</v>
      </c>
      <c r="EQ115" s="3">
        <f t="shared" si="347"/>
        <v>650</v>
      </c>
      <c r="ER115" s="3">
        <f t="shared" si="347"/>
        <v>650</v>
      </c>
      <c r="ES115" s="3">
        <f t="shared" si="347"/>
        <v>650</v>
      </c>
      <c r="ET115" s="3">
        <f t="shared" si="347"/>
        <v>650</v>
      </c>
      <c r="EU115" s="3">
        <f t="shared" si="347"/>
        <v>650</v>
      </c>
      <c r="EV115" s="3">
        <f t="shared" si="347"/>
        <v>650</v>
      </c>
      <c r="EW115" s="3">
        <f t="shared" si="347"/>
        <v>650</v>
      </c>
      <c r="EX115" s="3">
        <f t="shared" si="347"/>
        <v>650</v>
      </c>
      <c r="EY115" s="3">
        <f t="shared" si="347"/>
        <v>650</v>
      </c>
      <c r="EZ115" s="5">
        <v>14</v>
      </c>
      <c r="FA115" s="6">
        <f t="shared" si="279"/>
        <v>0.12037037037037036</v>
      </c>
    </row>
    <row r="116" spans="3:157" ht="15" customHeight="1" x14ac:dyDescent="0.3">
      <c r="C116" s="94"/>
      <c r="D116" s="95"/>
      <c r="E116" s="5">
        <v>13</v>
      </c>
      <c r="F116" s="6">
        <f t="shared" si="269"/>
        <v>0.1111111111111111</v>
      </c>
      <c r="G116" s="3">
        <f t="shared" si="337"/>
        <v>600</v>
      </c>
      <c r="H116" s="3">
        <f t="shared" si="337"/>
        <v>600</v>
      </c>
      <c r="I116" s="3">
        <f t="shared" si="337"/>
        <v>600</v>
      </c>
      <c r="J116" s="3">
        <f t="shared" si="337"/>
        <v>600</v>
      </c>
      <c r="K116" s="3">
        <f t="shared" si="337"/>
        <v>600</v>
      </c>
      <c r="L116" s="3">
        <f t="shared" si="337"/>
        <v>600</v>
      </c>
      <c r="M116" s="3">
        <f t="shared" si="337"/>
        <v>600</v>
      </c>
      <c r="N116" s="3">
        <f t="shared" si="337"/>
        <v>600</v>
      </c>
      <c r="O116" s="3">
        <f t="shared" si="337"/>
        <v>600</v>
      </c>
      <c r="P116" s="3">
        <f t="shared" si="87"/>
        <v>600</v>
      </c>
      <c r="Q116" s="3">
        <f t="shared" si="129"/>
        <v>600</v>
      </c>
      <c r="R116" s="3">
        <f t="shared" si="159"/>
        <v>600</v>
      </c>
      <c r="S116" s="3">
        <f t="shared" ref="S116" si="353">($F$5*$B$5*R53+$F$4*T53)/($F$4+$F$5*$B$5)</f>
        <v>614.74126980798451</v>
      </c>
      <c r="T116" s="3">
        <f t="shared" ref="T116" si="354">CT116*U116+EH116</f>
        <v>615.66180786926293</v>
      </c>
      <c r="U116" s="3">
        <f t="shared" ref="U116" si="355">CU116*V116+EI116</f>
        <v>616.63952140005995</v>
      </c>
      <c r="V116" s="3">
        <f t="shared" ref="V116" si="356">CV116*W116+EJ116</f>
        <v>617.67588099713612</v>
      </c>
      <c r="W116" s="3">
        <f t="shared" si="181"/>
        <v>618.77076517661499</v>
      </c>
      <c r="X116" s="3">
        <f t="shared" si="181"/>
        <v>619.9221105305287</v>
      </c>
      <c r="Y116" s="3">
        <f t="shared" ref="Y116" si="357">($F$6*$B$5*Z53+$F$4*X53)/($F$4+$F$6*$B$5)</f>
        <v>621.12184677132541</v>
      </c>
      <c r="Z116" s="3">
        <f t="shared" si="165"/>
        <v>650</v>
      </c>
      <c r="AA116" s="3">
        <f t="shared" si="137"/>
        <v>650</v>
      </c>
      <c r="AB116" s="3">
        <f t="shared" si="99"/>
        <v>650</v>
      </c>
      <c r="AC116" s="3">
        <f t="shared" si="339"/>
        <v>650</v>
      </c>
      <c r="AD116" s="3">
        <f t="shared" si="339"/>
        <v>650</v>
      </c>
      <c r="AE116" s="3">
        <f t="shared" si="339"/>
        <v>650</v>
      </c>
      <c r="AF116" s="3">
        <f t="shared" si="339"/>
        <v>650</v>
      </c>
      <c r="AG116" s="3">
        <f t="shared" si="339"/>
        <v>650</v>
      </c>
      <c r="AH116" s="3">
        <f t="shared" si="339"/>
        <v>650</v>
      </c>
      <c r="AI116" s="3">
        <f t="shared" si="339"/>
        <v>650</v>
      </c>
      <c r="AJ116" s="3">
        <f t="shared" si="339"/>
        <v>650</v>
      </c>
      <c r="AK116" s="3">
        <f t="shared" si="339"/>
        <v>650</v>
      </c>
      <c r="AL116" s="5">
        <v>13</v>
      </c>
      <c r="AM116" s="6">
        <f t="shared" si="272"/>
        <v>0.1111111111111111</v>
      </c>
      <c r="AP116" s="102"/>
      <c r="AQ116" s="101"/>
      <c r="AR116" s="5">
        <v>13</v>
      </c>
      <c r="AS116" s="6">
        <f t="shared" si="273"/>
        <v>0.1111111111111111</v>
      </c>
      <c r="AT116" s="3">
        <f t="shared" si="340"/>
        <v>600</v>
      </c>
      <c r="AU116" s="3">
        <f t="shared" si="340"/>
        <v>600</v>
      </c>
      <c r="AV116" s="3">
        <f t="shared" si="340"/>
        <v>600</v>
      </c>
      <c r="AW116" s="3">
        <f t="shared" si="340"/>
        <v>600</v>
      </c>
      <c r="AX116" s="3">
        <f t="shared" si="340"/>
        <v>600</v>
      </c>
      <c r="AY116" s="3">
        <f t="shared" si="340"/>
        <v>600</v>
      </c>
      <c r="AZ116" s="3">
        <f t="shared" si="340"/>
        <v>600</v>
      </c>
      <c r="BA116" s="3">
        <f t="shared" si="340"/>
        <v>600</v>
      </c>
      <c r="BB116" s="3">
        <f t="shared" si="340"/>
        <v>600</v>
      </c>
      <c r="BC116" s="3">
        <f t="shared" si="100"/>
        <v>600</v>
      </c>
      <c r="BD116" s="3">
        <f t="shared" si="138"/>
        <v>600</v>
      </c>
      <c r="BE116" s="66">
        <f t="shared" si="166"/>
        <v>600</v>
      </c>
      <c r="BF116" s="69"/>
      <c r="BG116" s="26">
        <f t="shared" ref="BG116:BG117" si="358">-($F$3*$F$2)/$B$8*T53</f>
        <v>-2208757860.1911087</v>
      </c>
      <c r="BH116" s="3">
        <f t="shared" ref="BH116:BH117" si="359">-($F$3*$F$2)/$B$8*U53</f>
        <v>-2212259808.0690188</v>
      </c>
      <c r="BI116" s="3">
        <f t="shared" ref="BI116:BI117" si="360">-($F$3*$F$2)/$B$8*V53</f>
        <v>-2215978769.2465768</v>
      </c>
      <c r="BJ116" s="3">
        <f t="shared" ref="BJ116:BJ117" si="361">-($F$3*$F$2)/$B$8*W53</f>
        <v>-2219915756.1915345</v>
      </c>
      <c r="BK116" s="30">
        <f t="shared" ref="BK116:BK117" si="362">-($F$3*$F$2)/$B$8*X53</f>
        <v>-2224080194.3118424</v>
      </c>
      <c r="BL116" s="69"/>
      <c r="BM116" s="23">
        <f t="shared" si="167"/>
        <v>650</v>
      </c>
      <c r="BN116" s="3">
        <f t="shared" si="146"/>
        <v>650</v>
      </c>
      <c r="BO116" s="3">
        <f t="shared" si="110"/>
        <v>650</v>
      </c>
      <c r="BP116" s="3">
        <f t="shared" si="341"/>
        <v>650</v>
      </c>
      <c r="BQ116" s="3">
        <f t="shared" si="341"/>
        <v>650</v>
      </c>
      <c r="BR116" s="3">
        <f t="shared" si="341"/>
        <v>650</v>
      </c>
      <c r="BS116" s="3">
        <f t="shared" si="341"/>
        <v>650</v>
      </c>
      <c r="BT116" s="3">
        <f t="shared" si="341"/>
        <v>650</v>
      </c>
      <c r="BU116" s="3">
        <f t="shared" si="341"/>
        <v>650</v>
      </c>
      <c r="BV116" s="3">
        <f t="shared" si="341"/>
        <v>650</v>
      </c>
      <c r="BW116" s="3">
        <f t="shared" si="341"/>
        <v>650</v>
      </c>
      <c r="BX116" s="3">
        <f t="shared" si="341"/>
        <v>650</v>
      </c>
      <c r="BY116" s="5">
        <v>13</v>
      </c>
      <c r="BZ116" s="6">
        <f t="shared" si="274"/>
        <v>0.1111111111111111</v>
      </c>
      <c r="CC116" s="94"/>
      <c r="CD116" s="95"/>
      <c r="CE116" s="5">
        <v>13</v>
      </c>
      <c r="CF116" s="6">
        <f t="shared" si="275"/>
        <v>0.1111111111111111</v>
      </c>
      <c r="CG116" s="3">
        <f t="shared" si="342"/>
        <v>600</v>
      </c>
      <c r="CH116" s="3">
        <f t="shared" si="342"/>
        <v>600</v>
      </c>
      <c r="CI116" s="3">
        <f t="shared" si="342"/>
        <v>600</v>
      </c>
      <c r="CJ116" s="3">
        <f t="shared" si="342"/>
        <v>600</v>
      </c>
      <c r="CK116" s="3">
        <f t="shared" si="342"/>
        <v>600</v>
      </c>
      <c r="CL116" s="3">
        <f t="shared" si="342"/>
        <v>600</v>
      </c>
      <c r="CM116" s="3">
        <f t="shared" si="342"/>
        <v>600</v>
      </c>
      <c r="CN116" s="3">
        <f t="shared" si="342"/>
        <v>600</v>
      </c>
      <c r="CO116" s="3">
        <f t="shared" si="342"/>
        <v>600</v>
      </c>
      <c r="CP116" s="3">
        <f t="shared" si="111"/>
        <v>600</v>
      </c>
      <c r="CQ116" s="3">
        <f t="shared" si="147"/>
        <v>600</v>
      </c>
      <c r="CR116" s="3">
        <f t="shared" si="168"/>
        <v>600</v>
      </c>
      <c r="CS116" s="3">
        <v>0</v>
      </c>
      <c r="CT116" s="3">
        <f t="shared" ref="CT116" si="363">$L$2/($L$3-$L$4*CS116)</f>
        <v>0.34883720930232553</v>
      </c>
      <c r="CU116" s="3">
        <f t="shared" ref="CU116:CW116" si="364">$L$2/($L$3-$L$4*CT116)</f>
        <v>0.39716748768472904</v>
      </c>
      <c r="CV116" s="3">
        <f t="shared" si="364"/>
        <v>0.40494040593779607</v>
      </c>
      <c r="CW116" s="3">
        <f t="shared" si="364"/>
        <v>0.4062190081621499</v>
      </c>
      <c r="CX116" s="3">
        <f t="shared" ref="CX116:CY116" si="365">$L$2/($L$3-$L$4*CW116)</f>
        <v>0.40643010492156101</v>
      </c>
      <c r="CY116" s="3">
        <f t="shared" si="365"/>
        <v>0.40646497802255066</v>
      </c>
      <c r="CZ116" s="3">
        <f t="shared" si="169"/>
        <v>650</v>
      </c>
      <c r="DA116" s="3">
        <f t="shared" si="148"/>
        <v>650</v>
      </c>
      <c r="DB116" s="3">
        <f t="shared" si="113"/>
        <v>650</v>
      </c>
      <c r="DC116" s="3">
        <f t="shared" si="345"/>
        <v>650</v>
      </c>
      <c r="DD116" s="3">
        <f t="shared" si="345"/>
        <v>650</v>
      </c>
      <c r="DE116" s="3">
        <f t="shared" si="345"/>
        <v>650</v>
      </c>
      <c r="DF116" s="3">
        <f t="shared" si="345"/>
        <v>650</v>
      </c>
      <c r="DG116" s="3">
        <f t="shared" si="345"/>
        <v>650</v>
      </c>
      <c r="DH116" s="3">
        <f t="shared" si="345"/>
        <v>650</v>
      </c>
      <c r="DI116" s="3">
        <f t="shared" si="345"/>
        <v>650</v>
      </c>
      <c r="DJ116" s="3">
        <f t="shared" si="345"/>
        <v>650</v>
      </c>
      <c r="DK116" s="3">
        <f t="shared" si="345"/>
        <v>650</v>
      </c>
      <c r="DL116" s="5">
        <v>13</v>
      </c>
      <c r="DM116" s="6">
        <f t="shared" si="277"/>
        <v>0.1111111111111111</v>
      </c>
      <c r="DQ116" s="94"/>
      <c r="DR116" s="95"/>
      <c r="DS116" s="5">
        <v>13</v>
      </c>
      <c r="DT116" s="6">
        <f t="shared" si="278"/>
        <v>0.1111111111111111</v>
      </c>
      <c r="DU116" s="3">
        <f t="shared" si="346"/>
        <v>600</v>
      </c>
      <c r="DV116" s="3">
        <f t="shared" si="346"/>
        <v>600</v>
      </c>
      <c r="DW116" s="3">
        <f t="shared" si="346"/>
        <v>600</v>
      </c>
      <c r="DX116" s="3">
        <f t="shared" si="346"/>
        <v>600</v>
      </c>
      <c r="DY116" s="3">
        <f t="shared" si="346"/>
        <v>600</v>
      </c>
      <c r="DZ116" s="3">
        <f t="shared" si="346"/>
        <v>600</v>
      </c>
      <c r="EA116" s="3">
        <f t="shared" si="346"/>
        <v>600</v>
      </c>
      <c r="EB116" s="3">
        <f t="shared" si="346"/>
        <v>600</v>
      </c>
      <c r="EC116" s="3">
        <f t="shared" si="346"/>
        <v>600</v>
      </c>
      <c r="ED116" s="3">
        <f t="shared" si="114"/>
        <v>600</v>
      </c>
      <c r="EE116" s="3">
        <f t="shared" si="149"/>
        <v>600</v>
      </c>
      <c r="EF116" s="3">
        <f t="shared" si="170"/>
        <v>600</v>
      </c>
      <c r="EG116" s="3">
        <f t="shared" si="352"/>
        <v>614.74126980798451</v>
      </c>
      <c r="EH116" s="3">
        <f t="shared" ref="EH116:EH117" si="366">(EG116*$L$4-BG116)/($L$3-$L$4*CS116)</f>
        <v>400.55499807854437</v>
      </c>
      <c r="EI116" s="3">
        <f t="shared" ref="EI116:EI117" si="367">(EH116*$L$4-BH116)/($L$3-$L$4*CT116)</f>
        <v>371.31874354097567</v>
      </c>
      <c r="EJ116" s="3">
        <f t="shared" ref="EJ116:EJ117" si="368">(EI116*$L$4-BI116)/($L$3-$L$4*CU116)</f>
        <v>367.11059616407692</v>
      </c>
      <c r="EK116" s="3">
        <f t="shared" ref="EK116:EK117" si="369">(EJ116*$L$4-BJ116)/($L$3-$L$4*CV116)</f>
        <v>366.94662029911694</v>
      </c>
      <c r="EL116" s="3">
        <f t="shared" ref="EL116:EL117" si="370">(EK116*$L$4-BK116)/($L$3-$L$4*CW116)</f>
        <v>367.47949317818524</v>
      </c>
      <c r="EM116" s="3">
        <f t="shared" ref="EM116:EM117" si="371">(EL116*$L$4-BL116)/($L$3-$L$4*CX116)</f>
        <v>149.36754411840914</v>
      </c>
      <c r="EN116" s="3">
        <f t="shared" si="177"/>
        <v>650</v>
      </c>
      <c r="EO116" s="3">
        <f t="shared" si="158"/>
        <v>650</v>
      </c>
      <c r="EP116" s="3">
        <f t="shared" si="125"/>
        <v>650</v>
      </c>
      <c r="EQ116" s="3">
        <f t="shared" si="347"/>
        <v>650</v>
      </c>
      <c r="ER116" s="3">
        <f t="shared" si="347"/>
        <v>650</v>
      </c>
      <c r="ES116" s="3">
        <f t="shared" si="347"/>
        <v>650</v>
      </c>
      <c r="ET116" s="3">
        <f t="shared" si="347"/>
        <v>650</v>
      </c>
      <c r="EU116" s="3">
        <f t="shared" si="347"/>
        <v>650</v>
      </c>
      <c r="EV116" s="3">
        <f t="shared" si="347"/>
        <v>650</v>
      </c>
      <c r="EW116" s="3">
        <f t="shared" si="347"/>
        <v>650</v>
      </c>
      <c r="EX116" s="3">
        <f t="shared" si="347"/>
        <v>650</v>
      </c>
      <c r="EY116" s="3">
        <f t="shared" si="347"/>
        <v>650</v>
      </c>
      <c r="EZ116" s="5">
        <v>13</v>
      </c>
      <c r="FA116" s="6">
        <f t="shared" si="279"/>
        <v>0.1111111111111111</v>
      </c>
    </row>
    <row r="117" spans="3:157" ht="15" customHeight="1" x14ac:dyDescent="0.3">
      <c r="C117" s="94"/>
      <c r="D117" s="95"/>
      <c r="E117" s="5">
        <v>12</v>
      </c>
      <c r="F117" s="6">
        <f t="shared" si="269"/>
        <v>0.10185185185185185</v>
      </c>
      <c r="G117" s="3">
        <f t="shared" si="337"/>
        <v>600</v>
      </c>
      <c r="H117" s="3">
        <f t="shared" si="337"/>
        <v>600</v>
      </c>
      <c r="I117" s="3">
        <f t="shared" si="337"/>
        <v>600</v>
      </c>
      <c r="J117" s="3">
        <f t="shared" si="337"/>
        <v>600</v>
      </c>
      <c r="K117" s="3">
        <f t="shared" si="337"/>
        <v>600</v>
      </c>
      <c r="L117" s="3">
        <f t="shared" si="337"/>
        <v>600</v>
      </c>
      <c r="M117" s="3">
        <f t="shared" si="337"/>
        <v>600</v>
      </c>
      <c r="N117" s="3">
        <f t="shared" si="337"/>
        <v>600</v>
      </c>
      <c r="O117" s="3">
        <f t="shared" si="337"/>
        <v>600</v>
      </c>
      <c r="P117" s="3">
        <f t="shared" si="87"/>
        <v>600</v>
      </c>
      <c r="Q117" s="3">
        <f t="shared" si="129"/>
        <v>600</v>
      </c>
      <c r="R117" s="3">
        <f t="shared" si="159"/>
        <v>600</v>
      </c>
      <c r="S117" s="3">
        <f t="shared" ref="S117" si="372">($F$5*$B$5*R54+$F$4*T54)/($F$4+$F$5*$B$5)</f>
        <v>614.41263572471451</v>
      </c>
      <c r="T117" s="3">
        <f t="shared" ref="T117" si="373">CT117*U117+EH117</f>
        <v>615.31502205416359</v>
      </c>
      <c r="U117" s="3">
        <f t="shared" ref="U117" si="374">CU117*V117+EI117</f>
        <v>616.27536343658926</v>
      </c>
      <c r="V117" s="3">
        <f t="shared" si="181"/>
        <v>617.29447913932745</v>
      </c>
      <c r="W117" s="3">
        <f t="shared" si="181"/>
        <v>618.37319642641864</v>
      </c>
      <c r="X117" s="3">
        <f t="shared" si="181"/>
        <v>619.51259094683451</v>
      </c>
      <c r="Y117" s="3">
        <f t="shared" ref="Y117" si="375">($F$6*$B$5*Z54+$F$4*X54)/($F$4+$F$6*$B$5)</f>
        <v>620.71415476302116</v>
      </c>
      <c r="Z117" s="3">
        <f t="shared" si="165"/>
        <v>650</v>
      </c>
      <c r="AA117" s="3">
        <f t="shared" si="137"/>
        <v>650</v>
      </c>
      <c r="AB117" s="3">
        <f t="shared" si="99"/>
        <v>650</v>
      </c>
      <c r="AC117" s="3">
        <f t="shared" si="339"/>
        <v>650</v>
      </c>
      <c r="AD117" s="3">
        <f t="shared" si="339"/>
        <v>650</v>
      </c>
      <c r="AE117" s="3">
        <f t="shared" si="339"/>
        <v>650</v>
      </c>
      <c r="AF117" s="3">
        <f t="shared" si="339"/>
        <v>650</v>
      </c>
      <c r="AG117" s="3">
        <f t="shared" si="339"/>
        <v>650</v>
      </c>
      <c r="AH117" s="3">
        <f t="shared" si="339"/>
        <v>650</v>
      </c>
      <c r="AI117" s="3">
        <f t="shared" si="339"/>
        <v>650</v>
      </c>
      <c r="AJ117" s="3">
        <f t="shared" si="339"/>
        <v>650</v>
      </c>
      <c r="AK117" s="3">
        <f t="shared" si="339"/>
        <v>650</v>
      </c>
      <c r="AL117" s="5">
        <v>12</v>
      </c>
      <c r="AM117" s="6">
        <f t="shared" si="272"/>
        <v>0.10185185185185185</v>
      </c>
      <c r="AP117" s="102"/>
      <c r="AQ117" s="101"/>
      <c r="AR117" s="5">
        <v>12</v>
      </c>
      <c r="AS117" s="6">
        <f t="shared" si="273"/>
        <v>0.10185185185185185</v>
      </c>
      <c r="AT117" s="3">
        <f t="shared" si="340"/>
        <v>600</v>
      </c>
      <c r="AU117" s="3">
        <f t="shared" si="340"/>
        <v>600</v>
      </c>
      <c r="AV117" s="3">
        <f t="shared" si="340"/>
        <v>600</v>
      </c>
      <c r="AW117" s="3">
        <f t="shared" si="340"/>
        <v>600</v>
      </c>
      <c r="AX117" s="3">
        <f t="shared" si="340"/>
        <v>600</v>
      </c>
      <c r="AY117" s="3">
        <f t="shared" si="340"/>
        <v>600</v>
      </c>
      <c r="AZ117" s="3">
        <f t="shared" si="340"/>
        <v>600</v>
      </c>
      <c r="BA117" s="3">
        <f t="shared" si="340"/>
        <v>600</v>
      </c>
      <c r="BB117" s="3">
        <f t="shared" si="340"/>
        <v>600</v>
      </c>
      <c r="BC117" s="3">
        <f t="shared" si="100"/>
        <v>600</v>
      </c>
      <c r="BD117" s="3">
        <f t="shared" si="138"/>
        <v>600</v>
      </c>
      <c r="BE117" s="32">
        <f t="shared" si="166"/>
        <v>600</v>
      </c>
      <c r="BF117" s="69"/>
      <c r="BG117" s="23">
        <f t="shared" si="358"/>
        <v>-2207510365.2110162</v>
      </c>
      <c r="BH117" s="3">
        <f t="shared" si="359"/>
        <v>-2210952678.3243871</v>
      </c>
      <c r="BI117" s="3">
        <f t="shared" si="360"/>
        <v>-2214605840.5926862</v>
      </c>
      <c r="BJ117" s="3">
        <f t="shared" si="361"/>
        <v>-2218471825.0320263</v>
      </c>
      <c r="BK117" s="66">
        <f t="shared" si="362"/>
        <v>-2222553795.4327512</v>
      </c>
      <c r="BL117" s="69"/>
      <c r="BM117" s="34">
        <f t="shared" si="167"/>
        <v>650</v>
      </c>
      <c r="BN117" s="3">
        <f t="shared" si="146"/>
        <v>650</v>
      </c>
      <c r="BO117" s="3">
        <f t="shared" si="110"/>
        <v>650</v>
      </c>
      <c r="BP117" s="3">
        <f t="shared" si="341"/>
        <v>650</v>
      </c>
      <c r="BQ117" s="3">
        <f t="shared" si="341"/>
        <v>650</v>
      </c>
      <c r="BR117" s="3">
        <f t="shared" si="341"/>
        <v>650</v>
      </c>
      <c r="BS117" s="3">
        <f t="shared" si="341"/>
        <v>650</v>
      </c>
      <c r="BT117" s="3">
        <f t="shared" si="341"/>
        <v>650</v>
      </c>
      <c r="BU117" s="3">
        <f t="shared" si="341"/>
        <v>650</v>
      </c>
      <c r="BV117" s="3">
        <f t="shared" si="341"/>
        <v>650</v>
      </c>
      <c r="BW117" s="3">
        <f t="shared" si="341"/>
        <v>650</v>
      </c>
      <c r="BX117" s="3">
        <f t="shared" si="341"/>
        <v>650</v>
      </c>
      <c r="BY117" s="5">
        <v>12</v>
      </c>
      <c r="BZ117" s="6">
        <f t="shared" si="274"/>
        <v>0.10185185185185185</v>
      </c>
      <c r="CC117" s="94"/>
      <c r="CD117" s="95"/>
      <c r="CE117" s="5">
        <v>12</v>
      </c>
      <c r="CF117" s="6">
        <f t="shared" si="275"/>
        <v>0.10185185185185185</v>
      </c>
      <c r="CG117" s="3">
        <f t="shared" si="342"/>
        <v>600</v>
      </c>
      <c r="CH117" s="3">
        <f t="shared" si="342"/>
        <v>600</v>
      </c>
      <c r="CI117" s="3">
        <f t="shared" si="342"/>
        <v>600</v>
      </c>
      <c r="CJ117" s="3">
        <f t="shared" si="342"/>
        <v>600</v>
      </c>
      <c r="CK117" s="3">
        <f t="shared" si="342"/>
        <v>600</v>
      </c>
      <c r="CL117" s="3">
        <f t="shared" si="342"/>
        <v>600</v>
      </c>
      <c r="CM117" s="3">
        <f t="shared" si="342"/>
        <v>600</v>
      </c>
      <c r="CN117" s="3">
        <f t="shared" si="342"/>
        <v>600</v>
      </c>
      <c r="CO117" s="3">
        <f t="shared" si="342"/>
        <v>600</v>
      </c>
      <c r="CP117" s="3">
        <f t="shared" si="111"/>
        <v>600</v>
      </c>
      <c r="CQ117" s="3">
        <f t="shared" si="147"/>
        <v>600</v>
      </c>
      <c r="CR117" s="3">
        <f t="shared" si="168"/>
        <v>600</v>
      </c>
      <c r="CS117" s="3">
        <v>0</v>
      </c>
      <c r="CT117" s="3">
        <f t="shared" ref="CT117" si="376">$L$2/($L$3-$L$4*CS117)</f>
        <v>0.34883720930232553</v>
      </c>
      <c r="CU117" s="3">
        <f t="shared" ref="CU117:CW117" si="377">$L$2/($L$3-$L$4*CT117)</f>
        <v>0.39716748768472904</v>
      </c>
      <c r="CV117" s="3">
        <f t="shared" si="377"/>
        <v>0.40494040593779607</v>
      </c>
      <c r="CW117" s="3">
        <f t="shared" si="377"/>
        <v>0.4062190081621499</v>
      </c>
      <c r="CX117" s="3">
        <f t="shared" ref="CX117:CY117" si="378">$L$2/($L$3-$L$4*CW117)</f>
        <v>0.40643010492156101</v>
      </c>
      <c r="CY117" s="3">
        <f t="shared" si="378"/>
        <v>0.40646497802255066</v>
      </c>
      <c r="CZ117" s="3">
        <f t="shared" si="169"/>
        <v>650</v>
      </c>
      <c r="DA117" s="3">
        <f t="shared" si="148"/>
        <v>650</v>
      </c>
      <c r="DB117" s="3">
        <f t="shared" si="113"/>
        <v>650</v>
      </c>
      <c r="DC117" s="3">
        <f t="shared" si="345"/>
        <v>650</v>
      </c>
      <c r="DD117" s="3">
        <f t="shared" si="345"/>
        <v>650</v>
      </c>
      <c r="DE117" s="3">
        <f t="shared" si="345"/>
        <v>650</v>
      </c>
      <c r="DF117" s="3">
        <f t="shared" si="345"/>
        <v>650</v>
      </c>
      <c r="DG117" s="3">
        <f t="shared" si="345"/>
        <v>650</v>
      </c>
      <c r="DH117" s="3">
        <f t="shared" si="345"/>
        <v>650</v>
      </c>
      <c r="DI117" s="3">
        <f t="shared" si="345"/>
        <v>650</v>
      </c>
      <c r="DJ117" s="3">
        <f t="shared" si="345"/>
        <v>650</v>
      </c>
      <c r="DK117" s="3">
        <f t="shared" si="345"/>
        <v>650</v>
      </c>
      <c r="DL117" s="5">
        <v>12</v>
      </c>
      <c r="DM117" s="6">
        <f t="shared" si="277"/>
        <v>0.10185185185185185</v>
      </c>
      <c r="DQ117" s="94"/>
      <c r="DR117" s="95"/>
      <c r="DS117" s="5">
        <v>12</v>
      </c>
      <c r="DT117" s="6">
        <f t="shared" si="278"/>
        <v>0.10185185185185185</v>
      </c>
      <c r="DU117" s="3">
        <f t="shared" si="346"/>
        <v>600</v>
      </c>
      <c r="DV117" s="3">
        <f t="shared" si="346"/>
        <v>600</v>
      </c>
      <c r="DW117" s="3">
        <f t="shared" si="346"/>
        <v>600</v>
      </c>
      <c r="DX117" s="3">
        <f t="shared" si="346"/>
        <v>600</v>
      </c>
      <c r="DY117" s="3">
        <f t="shared" si="346"/>
        <v>600</v>
      </c>
      <c r="DZ117" s="3">
        <f t="shared" si="346"/>
        <v>600</v>
      </c>
      <c r="EA117" s="3">
        <f t="shared" si="346"/>
        <v>600</v>
      </c>
      <c r="EB117" s="3">
        <f t="shared" si="346"/>
        <v>600</v>
      </c>
      <c r="EC117" s="3">
        <f t="shared" si="346"/>
        <v>600</v>
      </c>
      <c r="ED117" s="3">
        <f t="shared" si="114"/>
        <v>600</v>
      </c>
      <c r="EE117" s="3">
        <f t="shared" si="149"/>
        <v>600</v>
      </c>
      <c r="EF117" s="3">
        <f t="shared" si="170"/>
        <v>600</v>
      </c>
      <c r="EG117" s="3">
        <f t="shared" si="352"/>
        <v>614.41263572471451</v>
      </c>
      <c r="EH117" s="3">
        <f t="shared" si="366"/>
        <v>400.33524411116741</v>
      </c>
      <c r="EI117" s="3">
        <f t="shared" si="367"/>
        <v>371.10606599516916</v>
      </c>
      <c r="EJ117" s="3">
        <f t="shared" si="368"/>
        <v>366.89018595736104</v>
      </c>
      <c r="EK117" s="3">
        <f t="shared" si="369"/>
        <v>366.71540618803186</v>
      </c>
      <c r="EL117" s="3">
        <f t="shared" si="370"/>
        <v>367.23567190020174</v>
      </c>
      <c r="EM117" s="3">
        <f t="shared" si="371"/>
        <v>149.26843930801212</v>
      </c>
      <c r="EN117" s="3">
        <f t="shared" si="177"/>
        <v>650</v>
      </c>
      <c r="EO117" s="3">
        <f t="shared" si="158"/>
        <v>650</v>
      </c>
      <c r="EP117" s="3">
        <f t="shared" si="125"/>
        <v>650</v>
      </c>
      <c r="EQ117" s="3">
        <f t="shared" si="347"/>
        <v>650</v>
      </c>
      <c r="ER117" s="3">
        <f t="shared" si="347"/>
        <v>650</v>
      </c>
      <c r="ES117" s="3">
        <f t="shared" si="347"/>
        <v>650</v>
      </c>
      <c r="ET117" s="3">
        <f t="shared" si="347"/>
        <v>650</v>
      </c>
      <c r="EU117" s="3">
        <f t="shared" si="347"/>
        <v>650</v>
      </c>
      <c r="EV117" s="3">
        <f t="shared" si="347"/>
        <v>650</v>
      </c>
      <c r="EW117" s="3">
        <f t="shared" si="347"/>
        <v>650</v>
      </c>
      <c r="EX117" s="3">
        <f t="shared" si="347"/>
        <v>650</v>
      </c>
      <c r="EY117" s="3">
        <f t="shared" si="347"/>
        <v>650</v>
      </c>
      <c r="EZ117" s="5">
        <v>12</v>
      </c>
      <c r="FA117" s="6">
        <f t="shared" si="279"/>
        <v>0.10185185185185185</v>
      </c>
    </row>
    <row r="118" spans="3:157" ht="15" customHeight="1" x14ac:dyDescent="0.3">
      <c r="C118" s="94"/>
      <c r="D118" s="95"/>
      <c r="E118" s="5">
        <v>11</v>
      </c>
      <c r="F118" s="6">
        <f t="shared" si="269"/>
        <v>9.2592592592592587E-2</v>
      </c>
      <c r="G118" s="3">
        <f t="shared" si="337"/>
        <v>600</v>
      </c>
      <c r="H118" s="3">
        <f t="shared" si="337"/>
        <v>600</v>
      </c>
      <c r="I118" s="3">
        <f t="shared" si="337"/>
        <v>600</v>
      </c>
      <c r="J118" s="3">
        <f t="shared" si="337"/>
        <v>600</v>
      </c>
      <c r="K118" s="3">
        <f t="shared" si="337"/>
        <v>600</v>
      </c>
      <c r="L118" s="3">
        <f t="shared" si="337"/>
        <v>600</v>
      </c>
      <c r="M118" s="3">
        <f t="shared" si="337"/>
        <v>600</v>
      </c>
      <c r="N118" s="3">
        <f t="shared" si="337"/>
        <v>600</v>
      </c>
      <c r="O118" s="3">
        <f t="shared" si="337"/>
        <v>600</v>
      </c>
      <c r="P118" s="3">
        <f t="shared" si="87"/>
        <v>600</v>
      </c>
      <c r="Q118" s="3">
        <f t="shared" si="129"/>
        <v>600</v>
      </c>
      <c r="R118" s="3">
        <f t="shared" ref="R118" si="379">($F$5*$B$5*Q55+$F$4*S55)/($F$4+$F$5*$B$5)</f>
        <v>612.93403664016319</v>
      </c>
      <c r="S118" s="3">
        <f t="shared" ref="S118" si="380">CS118*T118+EG118</f>
        <v>613.75748732812292</v>
      </c>
      <c r="T118" s="3">
        <f t="shared" ref="T118" si="381">CT118*U118+EH118</f>
        <v>614.64476928353338</v>
      </c>
      <c r="U118" s="3">
        <f t="shared" ref="U118" si="382">CU118*V118+EI118</f>
        <v>615.58517745957772</v>
      </c>
      <c r="V118" s="3">
        <f t="shared" ref="V118" si="383">CV118*W118+EJ118</f>
        <v>616.57902114990247</v>
      </c>
      <c r="W118" s="3">
        <f t="shared" si="181"/>
        <v>617.62511934050087</v>
      </c>
      <c r="X118" s="3">
        <f t="shared" si="181"/>
        <v>618.72067257526669</v>
      </c>
      <c r="Y118" s="3">
        <f t="shared" si="181"/>
        <v>619.86073171572048</v>
      </c>
      <c r="Z118" s="3">
        <f t="shared" ref="Z118" si="384">($F$6*$B$5*AA55+$F$4*Y55)/($F$4+$F$6*$B$5)</f>
        <v>621.05575590316664</v>
      </c>
      <c r="AA118" s="3">
        <f t="shared" si="137"/>
        <v>650</v>
      </c>
      <c r="AB118" s="3">
        <f t="shared" si="99"/>
        <v>650</v>
      </c>
      <c r="AC118" s="3">
        <f t="shared" si="339"/>
        <v>650</v>
      </c>
      <c r="AD118" s="3">
        <f t="shared" si="339"/>
        <v>650</v>
      </c>
      <c r="AE118" s="3">
        <f t="shared" si="339"/>
        <v>650</v>
      </c>
      <c r="AF118" s="3">
        <f t="shared" si="339"/>
        <v>650</v>
      </c>
      <c r="AG118" s="3">
        <f t="shared" si="339"/>
        <v>650</v>
      </c>
      <c r="AH118" s="3">
        <f t="shared" si="339"/>
        <v>650</v>
      </c>
      <c r="AI118" s="3">
        <f t="shared" si="339"/>
        <v>650</v>
      </c>
      <c r="AJ118" s="3">
        <f t="shared" si="339"/>
        <v>650</v>
      </c>
      <c r="AK118" s="3">
        <f t="shared" si="339"/>
        <v>650</v>
      </c>
      <c r="AL118" s="5">
        <v>11</v>
      </c>
      <c r="AM118" s="6">
        <f t="shared" si="272"/>
        <v>9.2592592592592587E-2</v>
      </c>
      <c r="AP118" s="102"/>
      <c r="AQ118" s="101"/>
      <c r="AR118" s="5">
        <v>11</v>
      </c>
      <c r="AS118" s="6">
        <f t="shared" si="273"/>
        <v>9.2592592592592587E-2</v>
      </c>
      <c r="AT118" s="3">
        <f t="shared" si="340"/>
        <v>600</v>
      </c>
      <c r="AU118" s="3">
        <f t="shared" si="340"/>
        <v>600</v>
      </c>
      <c r="AV118" s="3">
        <f t="shared" si="340"/>
        <v>600</v>
      </c>
      <c r="AW118" s="3">
        <f t="shared" si="340"/>
        <v>600</v>
      </c>
      <c r="AX118" s="3">
        <f t="shared" si="340"/>
        <v>600</v>
      </c>
      <c r="AY118" s="3">
        <f t="shared" si="340"/>
        <v>600</v>
      </c>
      <c r="AZ118" s="3">
        <f t="shared" si="340"/>
        <v>600</v>
      </c>
      <c r="BA118" s="3">
        <f t="shared" si="340"/>
        <v>600</v>
      </c>
      <c r="BB118" s="3">
        <f t="shared" si="340"/>
        <v>600</v>
      </c>
      <c r="BC118" s="3">
        <f t="shared" si="100"/>
        <v>600</v>
      </c>
      <c r="BD118" s="66">
        <f t="shared" si="138"/>
        <v>600</v>
      </c>
      <c r="BE118" s="71"/>
      <c r="BF118" s="26">
        <f t="shared" ref="BF118:BF119" si="385">-($F$3*$F$2)/$B$8*S55</f>
        <v>-2201897603.0860591</v>
      </c>
      <c r="BG118" s="3">
        <f t="shared" ref="BG118:BG119" si="386">-($F$3*$F$2)/$B$8*T55</f>
        <v>-2205125489.6358938</v>
      </c>
      <c r="BH118" s="3">
        <f t="shared" ref="BH118:BH119" si="387">-($F$3*$F$2)/$B$8*U55</f>
        <v>-2208498393.6958432</v>
      </c>
      <c r="BI118" s="3">
        <f t="shared" si="215"/>
        <v>-2212069194.2547174</v>
      </c>
      <c r="BJ118" s="3">
        <f t="shared" ref="BJ118:BJ119" si="388">-($F$3*$F$2)/$B$8*W55</f>
        <v>-2215834184.3108649</v>
      </c>
      <c r="BK118" s="3">
        <f t="shared" ref="BK118:BK119" si="389">-($F$3*$F$2)/$B$8*X55</f>
        <v>-2219785518.7505083</v>
      </c>
      <c r="BL118" s="30">
        <f t="shared" ref="BL118:BL119" si="390">-($F$3*$F$2)/$B$8*Y55</f>
        <v>-2223832750.1014557</v>
      </c>
      <c r="BM118" s="69"/>
      <c r="BN118" s="23">
        <f t="shared" si="146"/>
        <v>650</v>
      </c>
      <c r="BO118" s="3">
        <f t="shared" si="110"/>
        <v>650</v>
      </c>
      <c r="BP118" s="3">
        <f t="shared" si="341"/>
        <v>650</v>
      </c>
      <c r="BQ118" s="3">
        <f t="shared" si="341"/>
        <v>650</v>
      </c>
      <c r="BR118" s="3">
        <f t="shared" si="341"/>
        <v>650</v>
      </c>
      <c r="BS118" s="3">
        <f t="shared" si="341"/>
        <v>650</v>
      </c>
      <c r="BT118" s="3">
        <f t="shared" si="341"/>
        <v>650</v>
      </c>
      <c r="BU118" s="3">
        <f t="shared" si="341"/>
        <v>650</v>
      </c>
      <c r="BV118" s="3">
        <f t="shared" si="341"/>
        <v>650</v>
      </c>
      <c r="BW118" s="3">
        <f t="shared" si="341"/>
        <v>650</v>
      </c>
      <c r="BX118" s="3">
        <f t="shared" si="341"/>
        <v>650</v>
      </c>
      <c r="BY118" s="5">
        <v>11</v>
      </c>
      <c r="BZ118" s="6">
        <f t="shared" si="274"/>
        <v>9.2592592592592587E-2</v>
      </c>
      <c r="CC118" s="94"/>
      <c r="CD118" s="95"/>
      <c r="CE118" s="5">
        <v>11</v>
      </c>
      <c r="CF118" s="6">
        <f t="shared" si="275"/>
        <v>9.2592592592592587E-2</v>
      </c>
      <c r="CG118" s="3">
        <f t="shared" si="342"/>
        <v>600</v>
      </c>
      <c r="CH118" s="3">
        <f t="shared" si="342"/>
        <v>600</v>
      </c>
      <c r="CI118" s="3">
        <f t="shared" si="342"/>
        <v>600</v>
      </c>
      <c r="CJ118" s="3">
        <f t="shared" si="342"/>
        <v>600</v>
      </c>
      <c r="CK118" s="3">
        <f t="shared" si="342"/>
        <v>600</v>
      </c>
      <c r="CL118" s="3">
        <f t="shared" si="342"/>
        <v>600</v>
      </c>
      <c r="CM118" s="3">
        <f t="shared" si="342"/>
        <v>600</v>
      </c>
      <c r="CN118" s="3">
        <f t="shared" si="342"/>
        <v>600</v>
      </c>
      <c r="CO118" s="3">
        <f t="shared" si="342"/>
        <v>600</v>
      </c>
      <c r="CP118" s="3">
        <f t="shared" si="111"/>
        <v>600</v>
      </c>
      <c r="CQ118" s="3">
        <f t="shared" si="147"/>
        <v>600</v>
      </c>
      <c r="CR118" s="3">
        <v>0</v>
      </c>
      <c r="CS118" s="3">
        <f t="shared" ref="CS118:CT118" si="391">$L$2/($L$3-$L$4*CR118)</f>
        <v>0.34883720930232553</v>
      </c>
      <c r="CT118" s="3">
        <f t="shared" si="391"/>
        <v>0.39716748768472904</v>
      </c>
      <c r="CU118" s="3">
        <f t="shared" ref="CU118:CW118" si="392">$L$2/($L$3-$L$4*CT118)</f>
        <v>0.40494040593779607</v>
      </c>
      <c r="CV118" s="3">
        <f t="shared" si="392"/>
        <v>0.4062190081621499</v>
      </c>
      <c r="CW118" s="3">
        <f t="shared" si="392"/>
        <v>0.40643010492156101</v>
      </c>
      <c r="CX118" s="3">
        <f t="shared" ref="CX118:CY118" si="393">$L$2/($L$3-$L$4*CW118)</f>
        <v>0.40646497802255066</v>
      </c>
      <c r="CY118" s="3">
        <f t="shared" si="393"/>
        <v>0.40647073962099717</v>
      </c>
      <c r="CZ118" s="3">
        <f t="shared" ref="CZ118" si="394">$L$2/($L$3-$L$4*CY118)</f>
        <v>0.40647169154566137</v>
      </c>
      <c r="DA118" s="3">
        <f t="shared" si="148"/>
        <v>650</v>
      </c>
      <c r="DB118" s="3">
        <f t="shared" si="113"/>
        <v>650</v>
      </c>
      <c r="DC118" s="3">
        <f t="shared" si="345"/>
        <v>650</v>
      </c>
      <c r="DD118" s="3">
        <f t="shared" si="345"/>
        <v>650</v>
      </c>
      <c r="DE118" s="3">
        <f t="shared" si="345"/>
        <v>650</v>
      </c>
      <c r="DF118" s="3">
        <f t="shared" si="345"/>
        <v>650</v>
      </c>
      <c r="DG118" s="3">
        <f t="shared" si="345"/>
        <v>650</v>
      </c>
      <c r="DH118" s="3">
        <f t="shared" si="345"/>
        <v>650</v>
      </c>
      <c r="DI118" s="3">
        <f t="shared" si="345"/>
        <v>650</v>
      </c>
      <c r="DJ118" s="3">
        <f t="shared" si="345"/>
        <v>650</v>
      </c>
      <c r="DK118" s="3">
        <f t="shared" si="345"/>
        <v>650</v>
      </c>
      <c r="DL118" s="5">
        <v>11</v>
      </c>
      <c r="DM118" s="6">
        <f t="shared" si="277"/>
        <v>9.2592592592592587E-2</v>
      </c>
      <c r="DQ118" s="94"/>
      <c r="DR118" s="95"/>
      <c r="DS118" s="5">
        <v>11</v>
      </c>
      <c r="DT118" s="6">
        <f t="shared" si="278"/>
        <v>9.2592592592592587E-2</v>
      </c>
      <c r="DU118" s="3">
        <f t="shared" si="346"/>
        <v>600</v>
      </c>
      <c r="DV118" s="3">
        <f t="shared" si="346"/>
        <v>600</v>
      </c>
      <c r="DW118" s="3">
        <f t="shared" si="346"/>
        <v>600</v>
      </c>
      <c r="DX118" s="3">
        <f t="shared" si="346"/>
        <v>600</v>
      </c>
      <c r="DY118" s="3">
        <f t="shared" si="346"/>
        <v>600</v>
      </c>
      <c r="DZ118" s="3">
        <f t="shared" si="346"/>
        <v>600</v>
      </c>
      <c r="EA118" s="3">
        <f t="shared" si="346"/>
        <v>600</v>
      </c>
      <c r="EB118" s="3">
        <f t="shared" si="346"/>
        <v>600</v>
      </c>
      <c r="EC118" s="3">
        <f t="shared" si="346"/>
        <v>600</v>
      </c>
      <c r="ED118" s="3">
        <f t="shared" si="114"/>
        <v>600</v>
      </c>
      <c r="EE118" s="3">
        <f t="shared" si="149"/>
        <v>600</v>
      </c>
      <c r="EF118" s="3">
        <f t="shared" si="352"/>
        <v>612.93403664016319</v>
      </c>
      <c r="EG118" s="3">
        <f t="shared" ref="EG118:EG119" si="395">(EF118*$L$4-BF118)/($L$3-$L$4*CR118)</f>
        <v>399.34652129898342</v>
      </c>
      <c r="EH118" s="3">
        <f t="shared" ref="EH118:EH119" si="396">(EG118*$L$4-BG118)/($L$3-$L$4*CS118)</f>
        <v>370.15435089595485</v>
      </c>
      <c r="EI118" s="3">
        <f t="shared" ref="EI118:EI119" si="397">(EH118*$L$4-BH118)/($L$3-$L$4*CT118)</f>
        <v>365.90741834240725</v>
      </c>
      <c r="EJ118" s="3">
        <f t="shared" si="221"/>
        <v>365.68795775537473</v>
      </c>
      <c r="EK118" s="3">
        <f t="shared" si="222"/>
        <v>366.15841146859646</v>
      </c>
      <c r="EL118" s="3">
        <f t="shared" ref="EL118:EL119" si="398">(EK118*$L$4-BK118)/($L$3-$L$4*CW118)</f>
        <v>366.76899388139424</v>
      </c>
      <c r="EM118" s="3">
        <f t="shared" ref="EM118:EM119" si="399">(EL118*$L$4-BL118)/($L$3-$L$4*CX118)</f>
        <v>367.41973926788285</v>
      </c>
      <c r="EN118" s="3">
        <f t="shared" ref="EN118:EN119" si="400">(EM118*$L$4-BM118)/($L$3-$L$4*CY118)</f>
        <v>149.3457229274822</v>
      </c>
      <c r="EO118" s="3">
        <f t="shared" si="158"/>
        <v>650</v>
      </c>
      <c r="EP118" s="3">
        <f t="shared" si="125"/>
        <v>650</v>
      </c>
      <c r="EQ118" s="3">
        <f t="shared" si="347"/>
        <v>650</v>
      </c>
      <c r="ER118" s="3">
        <f t="shared" si="347"/>
        <v>650</v>
      </c>
      <c r="ES118" s="3">
        <f t="shared" si="347"/>
        <v>650</v>
      </c>
      <c r="ET118" s="3">
        <f t="shared" si="347"/>
        <v>650</v>
      </c>
      <c r="EU118" s="3">
        <f t="shared" si="347"/>
        <v>650</v>
      </c>
      <c r="EV118" s="3">
        <f t="shared" si="347"/>
        <v>650</v>
      </c>
      <c r="EW118" s="3">
        <f t="shared" si="347"/>
        <v>650</v>
      </c>
      <c r="EX118" s="3">
        <f t="shared" si="347"/>
        <v>650</v>
      </c>
      <c r="EY118" s="3">
        <f t="shared" si="347"/>
        <v>650</v>
      </c>
      <c r="EZ118" s="5">
        <v>11</v>
      </c>
      <c r="FA118" s="6">
        <f t="shared" si="279"/>
        <v>9.2592592592592587E-2</v>
      </c>
    </row>
    <row r="119" spans="3:157" ht="15" customHeight="1" x14ac:dyDescent="0.3">
      <c r="C119" s="94"/>
      <c r="D119" s="95"/>
      <c r="E119" s="5">
        <v>10</v>
      </c>
      <c r="F119" s="6">
        <f t="shared" si="269"/>
        <v>8.3333333333333329E-2</v>
      </c>
      <c r="G119" s="3">
        <f t="shared" si="337"/>
        <v>600</v>
      </c>
      <c r="H119" s="3">
        <f t="shared" si="337"/>
        <v>600</v>
      </c>
      <c r="I119" s="3">
        <f t="shared" si="337"/>
        <v>600</v>
      </c>
      <c r="J119" s="3">
        <f t="shared" si="337"/>
        <v>600</v>
      </c>
      <c r="K119" s="3">
        <f t="shared" si="337"/>
        <v>600</v>
      </c>
      <c r="L119" s="3">
        <f t="shared" si="337"/>
        <v>600</v>
      </c>
      <c r="M119" s="3">
        <f t="shared" si="337"/>
        <v>600</v>
      </c>
      <c r="N119" s="3">
        <f t="shared" si="337"/>
        <v>600</v>
      </c>
      <c r="O119" s="3">
        <f t="shared" si="337"/>
        <v>600</v>
      </c>
      <c r="P119" s="3">
        <f t="shared" si="87"/>
        <v>600</v>
      </c>
      <c r="Q119" s="3">
        <f t="shared" si="129"/>
        <v>600</v>
      </c>
      <c r="R119" s="3">
        <f t="shared" ref="R119" si="401">($F$5*$B$5*Q56+$F$4*S56)/($F$4+$F$5*$B$5)</f>
        <v>612.15650784962349</v>
      </c>
      <c r="S119" s="3">
        <f t="shared" ref="S119" si="402">CS119*T119+EG119</f>
        <v>612.94187955211294</v>
      </c>
      <c r="T119" s="3">
        <f t="shared" ref="T119" si="403">CT119*U119+EH119</f>
        <v>613.79714498305918</v>
      </c>
      <c r="U119" s="3">
        <f t="shared" ref="U119" si="404">CU119*V119+EI119</f>
        <v>614.71698948444168</v>
      </c>
      <c r="V119" s="3">
        <f t="shared" si="181"/>
        <v>615.69876035151708</v>
      </c>
      <c r="W119" s="3">
        <f t="shared" si="181"/>
        <v>616.7406825211101</v>
      </c>
      <c r="X119" s="3">
        <f t="shared" si="181"/>
        <v>617.8417549117022</v>
      </c>
      <c r="Y119" s="3">
        <f t="shared" si="181"/>
        <v>619.00186992415343</v>
      </c>
      <c r="Z119" s="3">
        <f t="shared" ref="Z119:AH125" si="405">($F$6*$B$5*AA56+$F$4*Y56)/($F$4+$F$6*$B$5)</f>
        <v>620.22441995502345</v>
      </c>
      <c r="AA119" s="3">
        <f t="shared" si="137"/>
        <v>650</v>
      </c>
      <c r="AB119" s="3">
        <f t="shared" si="99"/>
        <v>650</v>
      </c>
      <c r="AC119" s="3">
        <f t="shared" si="339"/>
        <v>650</v>
      </c>
      <c r="AD119" s="3">
        <f t="shared" si="339"/>
        <v>650</v>
      </c>
      <c r="AE119" s="3">
        <f t="shared" si="339"/>
        <v>650</v>
      </c>
      <c r="AF119" s="3">
        <f t="shared" si="339"/>
        <v>650</v>
      </c>
      <c r="AG119" s="3">
        <f t="shared" si="339"/>
        <v>650</v>
      </c>
      <c r="AH119" s="3">
        <f t="shared" si="339"/>
        <v>650</v>
      </c>
      <c r="AI119" s="3">
        <f t="shared" si="339"/>
        <v>650</v>
      </c>
      <c r="AJ119" s="3">
        <f t="shared" si="339"/>
        <v>650</v>
      </c>
      <c r="AK119" s="3">
        <f t="shared" si="339"/>
        <v>650</v>
      </c>
      <c r="AL119" s="5">
        <v>10</v>
      </c>
      <c r="AM119" s="6">
        <f t="shared" si="272"/>
        <v>8.3333333333333329E-2</v>
      </c>
      <c r="AP119" s="102"/>
      <c r="AQ119" s="101"/>
      <c r="AR119" s="5">
        <v>10</v>
      </c>
      <c r="AS119" s="6">
        <f t="shared" si="273"/>
        <v>8.3333333333333329E-2</v>
      </c>
      <c r="AT119" s="3">
        <f t="shared" si="340"/>
        <v>600</v>
      </c>
      <c r="AU119" s="3">
        <f t="shared" si="340"/>
        <v>600</v>
      </c>
      <c r="AV119" s="3">
        <f t="shared" si="340"/>
        <v>600</v>
      </c>
      <c r="AW119" s="3">
        <f t="shared" si="340"/>
        <v>600</v>
      </c>
      <c r="AX119" s="3">
        <f t="shared" si="340"/>
        <v>600</v>
      </c>
      <c r="AY119" s="3">
        <f t="shared" si="340"/>
        <v>600</v>
      </c>
      <c r="AZ119" s="3">
        <f t="shared" si="340"/>
        <v>600</v>
      </c>
      <c r="BA119" s="3">
        <f t="shared" si="340"/>
        <v>600</v>
      </c>
      <c r="BB119" s="3">
        <f t="shared" si="340"/>
        <v>600</v>
      </c>
      <c r="BC119" s="3">
        <f t="shared" si="100"/>
        <v>600</v>
      </c>
      <c r="BD119" s="66">
        <f t="shared" si="138"/>
        <v>600</v>
      </c>
      <c r="BE119" s="69"/>
      <c r="BF119" s="23">
        <f t="shared" si="385"/>
        <v>-2198946103.7971706</v>
      </c>
      <c r="BG119" s="3">
        <f t="shared" si="386"/>
        <v>-2202036798.84761</v>
      </c>
      <c r="BH119" s="3">
        <f t="shared" si="387"/>
        <v>-2205348183.116209</v>
      </c>
      <c r="BI119" s="3">
        <f t="shared" si="215"/>
        <v>-2208878125.7488203</v>
      </c>
      <c r="BJ119" s="3">
        <f t="shared" si="388"/>
        <v>-2212620686.9708071</v>
      </c>
      <c r="BK119" s="3">
        <f t="shared" si="389"/>
        <v>-2216571780.1686897</v>
      </c>
      <c r="BL119" s="66">
        <f t="shared" si="390"/>
        <v>-2220720228.3116078</v>
      </c>
      <c r="BM119" s="69"/>
      <c r="BN119" s="23">
        <f t="shared" si="146"/>
        <v>650</v>
      </c>
      <c r="BO119" s="3">
        <f t="shared" si="110"/>
        <v>650</v>
      </c>
      <c r="BP119" s="3">
        <f t="shared" si="341"/>
        <v>650</v>
      </c>
      <c r="BQ119" s="3">
        <f t="shared" si="341"/>
        <v>650</v>
      </c>
      <c r="BR119" s="3">
        <f t="shared" si="341"/>
        <v>650</v>
      </c>
      <c r="BS119" s="3">
        <f t="shared" si="341"/>
        <v>650</v>
      </c>
      <c r="BT119" s="3">
        <f t="shared" si="341"/>
        <v>650</v>
      </c>
      <c r="BU119" s="3">
        <f t="shared" si="341"/>
        <v>650</v>
      </c>
      <c r="BV119" s="3">
        <f t="shared" si="341"/>
        <v>650</v>
      </c>
      <c r="BW119" s="3">
        <f t="shared" si="341"/>
        <v>650</v>
      </c>
      <c r="BX119" s="3">
        <f t="shared" si="341"/>
        <v>650</v>
      </c>
      <c r="BY119" s="5">
        <v>10</v>
      </c>
      <c r="BZ119" s="6">
        <f t="shared" si="274"/>
        <v>8.3333333333333329E-2</v>
      </c>
      <c r="CC119" s="94"/>
      <c r="CD119" s="95"/>
      <c r="CE119" s="5">
        <v>10</v>
      </c>
      <c r="CF119" s="6">
        <f t="shared" si="275"/>
        <v>8.3333333333333329E-2</v>
      </c>
      <c r="CG119" s="3">
        <f t="shared" si="342"/>
        <v>600</v>
      </c>
      <c r="CH119" s="3">
        <f t="shared" si="342"/>
        <v>600</v>
      </c>
      <c r="CI119" s="3">
        <f t="shared" si="342"/>
        <v>600</v>
      </c>
      <c r="CJ119" s="3">
        <f t="shared" si="342"/>
        <v>600</v>
      </c>
      <c r="CK119" s="3">
        <f t="shared" si="342"/>
        <v>600</v>
      </c>
      <c r="CL119" s="3">
        <f t="shared" si="342"/>
        <v>600</v>
      </c>
      <c r="CM119" s="3">
        <f t="shared" si="342"/>
        <v>600</v>
      </c>
      <c r="CN119" s="3">
        <f t="shared" si="342"/>
        <v>600</v>
      </c>
      <c r="CO119" s="3">
        <f t="shared" si="342"/>
        <v>600</v>
      </c>
      <c r="CP119" s="3">
        <f t="shared" si="111"/>
        <v>600</v>
      </c>
      <c r="CQ119" s="3">
        <f t="shared" si="147"/>
        <v>600</v>
      </c>
      <c r="CR119" s="3">
        <v>0</v>
      </c>
      <c r="CS119" s="3">
        <f t="shared" ref="CS119:CT119" si="406">$L$2/($L$3-$L$4*CR119)</f>
        <v>0.34883720930232553</v>
      </c>
      <c r="CT119" s="3">
        <f t="shared" si="406"/>
        <v>0.39716748768472904</v>
      </c>
      <c r="CU119" s="3">
        <f t="shared" ref="CU119:CW119" si="407">$L$2/($L$3-$L$4*CT119)</f>
        <v>0.40494040593779607</v>
      </c>
      <c r="CV119" s="3">
        <f t="shared" si="407"/>
        <v>0.4062190081621499</v>
      </c>
      <c r="CW119" s="3">
        <f t="shared" si="407"/>
        <v>0.40643010492156101</v>
      </c>
      <c r="CX119" s="3">
        <f t="shared" ref="CX119:CY119" si="408">$L$2/($L$3-$L$4*CW119)</f>
        <v>0.40646497802255066</v>
      </c>
      <c r="CY119" s="3">
        <f t="shared" si="408"/>
        <v>0.40647073962099717</v>
      </c>
      <c r="CZ119" s="3">
        <f t="shared" ref="CZ119" si="409">$L$2/($L$3-$L$4*CY119)</f>
        <v>0.40647169154566137</v>
      </c>
      <c r="DA119" s="3">
        <f t="shared" si="148"/>
        <v>650</v>
      </c>
      <c r="DB119" s="3">
        <f t="shared" si="113"/>
        <v>650</v>
      </c>
      <c r="DC119" s="3">
        <f t="shared" si="345"/>
        <v>650</v>
      </c>
      <c r="DD119" s="3">
        <f t="shared" si="345"/>
        <v>650</v>
      </c>
      <c r="DE119" s="3">
        <f t="shared" si="345"/>
        <v>650</v>
      </c>
      <c r="DF119" s="3">
        <f t="shared" si="345"/>
        <v>650</v>
      </c>
      <c r="DG119" s="3">
        <f t="shared" si="345"/>
        <v>650</v>
      </c>
      <c r="DH119" s="3">
        <f t="shared" si="345"/>
        <v>650</v>
      </c>
      <c r="DI119" s="3">
        <f t="shared" si="345"/>
        <v>650</v>
      </c>
      <c r="DJ119" s="3">
        <f t="shared" si="345"/>
        <v>650</v>
      </c>
      <c r="DK119" s="3">
        <f t="shared" si="345"/>
        <v>650</v>
      </c>
      <c r="DL119" s="5">
        <v>10</v>
      </c>
      <c r="DM119" s="6">
        <f t="shared" si="277"/>
        <v>8.3333333333333329E-2</v>
      </c>
      <c r="DQ119" s="94"/>
      <c r="DR119" s="95"/>
      <c r="DS119" s="5">
        <v>10</v>
      </c>
      <c r="DT119" s="6">
        <f t="shared" si="278"/>
        <v>8.3333333333333329E-2</v>
      </c>
      <c r="DU119" s="3">
        <f t="shared" si="346"/>
        <v>600</v>
      </c>
      <c r="DV119" s="3">
        <f t="shared" si="346"/>
        <v>600</v>
      </c>
      <c r="DW119" s="3">
        <f t="shared" si="346"/>
        <v>600</v>
      </c>
      <c r="DX119" s="3">
        <f t="shared" si="346"/>
        <v>600</v>
      </c>
      <c r="DY119" s="3">
        <f t="shared" si="346"/>
        <v>600</v>
      </c>
      <c r="DZ119" s="3">
        <f t="shared" si="346"/>
        <v>600</v>
      </c>
      <c r="EA119" s="3">
        <f t="shared" si="346"/>
        <v>600</v>
      </c>
      <c r="EB119" s="3">
        <f t="shared" si="346"/>
        <v>600</v>
      </c>
      <c r="EC119" s="3">
        <f t="shared" si="346"/>
        <v>600</v>
      </c>
      <c r="ED119" s="3">
        <f t="shared" si="114"/>
        <v>600</v>
      </c>
      <c r="EE119" s="3">
        <f t="shared" si="149"/>
        <v>600</v>
      </c>
      <c r="EF119" s="3">
        <f t="shared" si="352"/>
        <v>612.15650784962349</v>
      </c>
      <c r="EG119" s="3">
        <f t="shared" si="395"/>
        <v>398.82659641848767</v>
      </c>
      <c r="EH119" s="3">
        <f t="shared" si="396"/>
        <v>369.65154263240345</v>
      </c>
      <c r="EI119" s="3">
        <f t="shared" si="397"/>
        <v>365.39568353230061</v>
      </c>
      <c r="EJ119" s="3">
        <f t="shared" si="221"/>
        <v>365.16697200454433</v>
      </c>
      <c r="EK119" s="3">
        <f t="shared" si="222"/>
        <v>365.63119324742559</v>
      </c>
      <c r="EL119" s="3">
        <f t="shared" si="398"/>
        <v>366.23917345706337</v>
      </c>
      <c r="EM119" s="3">
        <f t="shared" si="399"/>
        <v>366.89879121403106</v>
      </c>
      <c r="EN119" s="3">
        <f t="shared" si="400"/>
        <v>149.13397229082565</v>
      </c>
      <c r="EO119" s="3">
        <f t="shared" si="158"/>
        <v>650</v>
      </c>
      <c r="EP119" s="3">
        <f t="shared" si="125"/>
        <v>650</v>
      </c>
      <c r="EQ119" s="3">
        <f t="shared" si="347"/>
        <v>650</v>
      </c>
      <c r="ER119" s="3">
        <f t="shared" si="347"/>
        <v>650</v>
      </c>
      <c r="ES119" s="3">
        <f t="shared" si="347"/>
        <v>650</v>
      </c>
      <c r="ET119" s="3">
        <f t="shared" si="347"/>
        <v>650</v>
      </c>
      <c r="EU119" s="3">
        <f t="shared" si="347"/>
        <v>650</v>
      </c>
      <c r="EV119" s="3">
        <f t="shared" si="347"/>
        <v>650</v>
      </c>
      <c r="EW119" s="3">
        <f t="shared" si="347"/>
        <v>650</v>
      </c>
      <c r="EX119" s="3">
        <f t="shared" si="347"/>
        <v>650</v>
      </c>
      <c r="EY119" s="3">
        <f t="shared" si="347"/>
        <v>650</v>
      </c>
      <c r="EZ119" s="5">
        <v>10</v>
      </c>
      <c r="FA119" s="6">
        <f t="shared" si="279"/>
        <v>8.3333333333333329E-2</v>
      </c>
    </row>
    <row r="120" spans="3:157" ht="15" customHeight="1" x14ac:dyDescent="0.3">
      <c r="C120" s="94"/>
      <c r="D120" s="95"/>
      <c r="E120" s="5">
        <v>9</v>
      </c>
      <c r="F120" s="6">
        <f t="shared" si="269"/>
        <v>7.407407407407407E-2</v>
      </c>
      <c r="G120" s="3">
        <f t="shared" si="337"/>
        <v>600</v>
      </c>
      <c r="H120" s="3">
        <f t="shared" si="337"/>
        <v>600</v>
      </c>
      <c r="I120" s="3">
        <f t="shared" si="337"/>
        <v>600</v>
      </c>
      <c r="J120" s="3">
        <f t="shared" si="337"/>
        <v>600</v>
      </c>
      <c r="K120" s="3">
        <f t="shared" si="337"/>
        <v>600</v>
      </c>
      <c r="L120" s="3">
        <f t="shared" si="337"/>
        <v>600</v>
      </c>
      <c r="M120" s="3">
        <f t="shared" si="337"/>
        <v>600</v>
      </c>
      <c r="N120" s="3">
        <f t="shared" si="337"/>
        <v>600</v>
      </c>
      <c r="O120" s="3">
        <f t="shared" si="337"/>
        <v>600</v>
      </c>
      <c r="P120" s="3">
        <f t="shared" si="87"/>
        <v>600</v>
      </c>
      <c r="Q120" s="3">
        <f t="shared" ref="J120:Q125" si="410">($F$5*$B$5*P57+$F$4*R57)/($F$4+$F$5*$B$5)</f>
        <v>610.29627623450619</v>
      </c>
      <c r="R120" s="3">
        <f t="shared" ref="R120" si="411">CR120*S120+EF120</f>
        <v>611.00049202503999</v>
      </c>
      <c r="S120" s="3">
        <f t="shared" ref="S120" si="412">CS120*T120+EG120</f>
        <v>611.79772733239929</v>
      </c>
      <c r="T120" s="3">
        <f t="shared" ref="T120" si="413">CT120*U120+EH120</f>
        <v>612.66275352404648</v>
      </c>
      <c r="U120" s="3">
        <f t="shared" ref="U120" si="414">CU120*V120+EI120</f>
        <v>613.59002908205764</v>
      </c>
      <c r="V120" s="3">
        <f t="shared" si="181"/>
        <v>614.57624326901714</v>
      </c>
      <c r="W120" s="3">
        <f t="shared" si="181"/>
        <v>615.61925577513466</v>
      </c>
      <c r="X120" s="3">
        <f t="shared" si="181"/>
        <v>616.71750899551614</v>
      </c>
      <c r="Y120" s="3">
        <f t="shared" si="181"/>
        <v>617.86958675255335</v>
      </c>
      <c r="Z120" s="3">
        <f t="shared" si="181"/>
        <v>619.07404820631098</v>
      </c>
      <c r="AA120" s="3">
        <f>($F$6*$B$5*AB57+$F$4*Z57)/($F$4+$F$6*$B$5)</f>
        <v>620.31845699605879</v>
      </c>
      <c r="AB120" s="3">
        <f t="shared" si="99"/>
        <v>650</v>
      </c>
      <c r="AC120" s="3">
        <f t="shared" si="339"/>
        <v>650</v>
      </c>
      <c r="AD120" s="3">
        <f t="shared" si="339"/>
        <v>650</v>
      </c>
      <c r="AE120" s="3">
        <f t="shared" si="339"/>
        <v>650</v>
      </c>
      <c r="AF120" s="3">
        <f t="shared" si="339"/>
        <v>650</v>
      </c>
      <c r="AG120" s="3">
        <f t="shared" si="339"/>
        <v>650</v>
      </c>
      <c r="AH120" s="3">
        <f t="shared" si="339"/>
        <v>650</v>
      </c>
      <c r="AI120" s="3">
        <f t="shared" si="339"/>
        <v>650</v>
      </c>
      <c r="AJ120" s="3">
        <f t="shared" si="339"/>
        <v>650</v>
      </c>
      <c r="AK120" s="3">
        <f t="shared" si="339"/>
        <v>650</v>
      </c>
      <c r="AL120" s="5">
        <v>9</v>
      </c>
      <c r="AM120" s="6">
        <f t="shared" si="272"/>
        <v>7.407407407407407E-2</v>
      </c>
      <c r="AP120" s="102"/>
      <c r="AQ120" s="101"/>
      <c r="AR120" s="5">
        <v>9</v>
      </c>
      <c r="AS120" s="6">
        <f t="shared" si="273"/>
        <v>7.407407407407407E-2</v>
      </c>
      <c r="AT120" s="3">
        <f t="shared" si="340"/>
        <v>600</v>
      </c>
      <c r="AU120" s="3">
        <f t="shared" si="340"/>
        <v>600</v>
      </c>
      <c r="AV120" s="3">
        <f t="shared" si="340"/>
        <v>600</v>
      </c>
      <c r="AW120" s="3">
        <f t="shared" si="340"/>
        <v>600</v>
      </c>
      <c r="AX120" s="3">
        <f t="shared" si="340"/>
        <v>600</v>
      </c>
      <c r="AY120" s="3">
        <f t="shared" si="340"/>
        <v>600</v>
      </c>
      <c r="AZ120" s="3">
        <f t="shared" si="340"/>
        <v>600</v>
      </c>
      <c r="BA120" s="3">
        <f t="shared" si="340"/>
        <v>600</v>
      </c>
      <c r="BB120" s="3">
        <f t="shared" si="340"/>
        <v>600</v>
      </c>
      <c r="BC120" s="3">
        <f t="shared" si="100"/>
        <v>600</v>
      </c>
      <c r="BD120" s="7"/>
      <c r="BE120" s="68">
        <f t="shared" ref="BE120" si="415">-($F$3*$F$2)/$B$8*R57</f>
        <v>-2191884664.5861855</v>
      </c>
      <c r="BF120" s="3">
        <f t="shared" ref="BF120" si="416">-($F$3*$F$2)/$B$8*S57</f>
        <v>-2194849591.4076962</v>
      </c>
      <c r="BG120" s="3">
        <f t="shared" ref="BG120" si="417">-($F$3*$F$2)/$B$8*T57</f>
        <v>-2197976247.2675319</v>
      </c>
      <c r="BH120" s="3">
        <f t="shared" ref="BH120" si="418">-($F$3*$F$2)/$B$8*U57</f>
        <v>-2201317018.4225774</v>
      </c>
      <c r="BI120" s="3">
        <f t="shared" ref="BI120" si="419">-($F$3*$F$2)/$B$8*V57</f>
        <v>-2204864415.80792</v>
      </c>
      <c r="BJ120" s="3">
        <f t="shared" ref="BJ120" si="420">-($F$3*$F$2)/$B$8*W57</f>
        <v>-2208613193.1641302</v>
      </c>
      <c r="BK120" s="3">
        <f t="shared" ref="BK120" si="421">-($F$3*$F$2)/$B$8*X57</f>
        <v>-2212559588.6941562</v>
      </c>
      <c r="BL120" s="3">
        <f t="shared" ref="BL120" si="422">-($F$3*$F$2)/$B$8*Y57</f>
        <v>-2216699208.7637391</v>
      </c>
      <c r="BM120" s="68">
        <f t="shared" ref="BM120" si="423">-($F$3*$F$2)/$B$8*Z57</f>
        <v>-2221072302.9932442</v>
      </c>
      <c r="BN120" s="7"/>
      <c r="BO120" s="3">
        <f t="shared" si="110"/>
        <v>650</v>
      </c>
      <c r="BP120" s="3">
        <f t="shared" si="341"/>
        <v>650</v>
      </c>
      <c r="BQ120" s="3">
        <f t="shared" si="341"/>
        <v>650</v>
      </c>
      <c r="BR120" s="3">
        <f t="shared" si="341"/>
        <v>650</v>
      </c>
      <c r="BS120" s="3">
        <f t="shared" si="341"/>
        <v>650</v>
      </c>
      <c r="BT120" s="3">
        <f t="shared" si="341"/>
        <v>650</v>
      </c>
      <c r="BU120" s="3">
        <f t="shared" si="341"/>
        <v>650</v>
      </c>
      <c r="BV120" s="3">
        <f t="shared" si="341"/>
        <v>650</v>
      </c>
      <c r="BW120" s="3">
        <f t="shared" si="341"/>
        <v>650</v>
      </c>
      <c r="BX120" s="3">
        <f t="shared" si="341"/>
        <v>650</v>
      </c>
      <c r="BY120" s="5">
        <v>9</v>
      </c>
      <c r="BZ120" s="6">
        <f t="shared" si="274"/>
        <v>7.407407407407407E-2</v>
      </c>
      <c r="CC120" s="94"/>
      <c r="CD120" s="95"/>
      <c r="CE120" s="5">
        <v>9</v>
      </c>
      <c r="CF120" s="6">
        <f t="shared" si="275"/>
        <v>7.407407407407407E-2</v>
      </c>
      <c r="CG120" s="3">
        <f t="shared" si="342"/>
        <v>600</v>
      </c>
      <c r="CH120" s="3">
        <f t="shared" si="342"/>
        <v>600</v>
      </c>
      <c r="CI120" s="3">
        <f t="shared" si="342"/>
        <v>600</v>
      </c>
      <c r="CJ120" s="3">
        <f t="shared" si="342"/>
        <v>600</v>
      </c>
      <c r="CK120" s="3">
        <f t="shared" si="342"/>
        <v>600</v>
      </c>
      <c r="CL120" s="3">
        <f t="shared" si="342"/>
        <v>600</v>
      </c>
      <c r="CM120" s="3">
        <f t="shared" si="342"/>
        <v>600</v>
      </c>
      <c r="CN120" s="3">
        <f t="shared" si="342"/>
        <v>600</v>
      </c>
      <c r="CO120" s="3">
        <f t="shared" si="342"/>
        <v>600</v>
      </c>
      <c r="CP120" s="3">
        <f t="shared" si="111"/>
        <v>600</v>
      </c>
      <c r="CQ120" s="3">
        <v>0</v>
      </c>
      <c r="CR120" s="3">
        <f t="shared" ref="CK120:DH125" si="424">$L$2/($L$3-$L$4*CQ120)</f>
        <v>0.34883720930232553</v>
      </c>
      <c r="CS120" s="3">
        <f t="shared" ref="CS120:CT120" si="425">$L$2/($L$3-$L$4*CR120)</f>
        <v>0.39716748768472904</v>
      </c>
      <c r="CT120" s="3">
        <f t="shared" si="425"/>
        <v>0.40494040593779607</v>
      </c>
      <c r="CU120" s="3">
        <f t="shared" ref="CU120:CW120" si="426">$L$2/($L$3-$L$4*CT120)</f>
        <v>0.4062190081621499</v>
      </c>
      <c r="CV120" s="3">
        <f t="shared" si="426"/>
        <v>0.40643010492156101</v>
      </c>
      <c r="CW120" s="3">
        <f t="shared" si="426"/>
        <v>0.40646497802255066</v>
      </c>
      <c r="CX120" s="3">
        <f t="shared" ref="CX120:CY120" si="427">$L$2/($L$3-$L$4*CW120)</f>
        <v>0.40647073962099717</v>
      </c>
      <c r="CY120" s="3">
        <f t="shared" si="427"/>
        <v>0.40647169154566137</v>
      </c>
      <c r="CZ120" s="3">
        <f t="shared" ref="CZ120:DA120" si="428">$L$2/($L$3-$L$4*CY120)</f>
        <v>0.40647184882198806</v>
      </c>
      <c r="DA120" s="3">
        <f t="shared" si="428"/>
        <v>0.40647187480708435</v>
      </c>
      <c r="DB120" s="3">
        <f t="shared" si="113"/>
        <v>650</v>
      </c>
      <c r="DC120" s="3">
        <f t="shared" si="345"/>
        <v>650</v>
      </c>
      <c r="DD120" s="3">
        <f t="shared" si="345"/>
        <v>650</v>
      </c>
      <c r="DE120" s="3">
        <f t="shared" si="345"/>
        <v>650</v>
      </c>
      <c r="DF120" s="3">
        <f t="shared" si="345"/>
        <v>650</v>
      </c>
      <c r="DG120" s="3">
        <f t="shared" si="345"/>
        <v>650</v>
      </c>
      <c r="DH120" s="3">
        <f t="shared" si="345"/>
        <v>650</v>
      </c>
      <c r="DI120" s="3">
        <f t="shared" si="345"/>
        <v>650</v>
      </c>
      <c r="DJ120" s="3">
        <f t="shared" si="345"/>
        <v>650</v>
      </c>
      <c r="DK120" s="3">
        <f t="shared" si="345"/>
        <v>650</v>
      </c>
      <c r="DL120" s="5">
        <v>9</v>
      </c>
      <c r="DM120" s="6">
        <f t="shared" si="277"/>
        <v>7.407407407407407E-2</v>
      </c>
      <c r="DQ120" s="94"/>
      <c r="DR120" s="95"/>
      <c r="DS120" s="5">
        <v>9</v>
      </c>
      <c r="DT120" s="6">
        <f t="shared" si="278"/>
        <v>7.407407407407407E-2</v>
      </c>
      <c r="DU120" s="3">
        <f t="shared" si="346"/>
        <v>600</v>
      </c>
      <c r="DV120" s="3">
        <f t="shared" si="346"/>
        <v>600</v>
      </c>
      <c r="DW120" s="3">
        <f t="shared" si="346"/>
        <v>600</v>
      </c>
      <c r="DX120" s="3">
        <f t="shared" si="346"/>
        <v>600</v>
      </c>
      <c r="DY120" s="3">
        <f t="shared" si="346"/>
        <v>600</v>
      </c>
      <c r="DZ120" s="3">
        <f t="shared" si="346"/>
        <v>600</v>
      </c>
      <c r="EA120" s="3">
        <f t="shared" si="346"/>
        <v>600</v>
      </c>
      <c r="EB120" s="3">
        <f t="shared" si="346"/>
        <v>600</v>
      </c>
      <c r="EC120" s="3">
        <f t="shared" si="346"/>
        <v>600</v>
      </c>
      <c r="ED120" s="3">
        <f t="shared" si="114"/>
        <v>600</v>
      </c>
      <c r="EE120" s="3">
        <f t="shared" si="352"/>
        <v>610.29627623450619</v>
      </c>
      <c r="EF120" s="3">
        <f t="shared" ref="EF120" si="429">(EE120*$L$4-BE120)/($L$3-$L$4*CQ120)</f>
        <v>397.58268016490069</v>
      </c>
      <c r="EG120" s="3">
        <f t="shared" ref="EG120" si="430">(EF120*$L$4-BF120)/($L$3-$L$4*CR120)</f>
        <v>368.46800071724533</v>
      </c>
      <c r="EH120" s="3">
        <f t="shared" ref="EH120" si="431">(EG120*$L$4-BG120)/($L$3-$L$4*CS120)</f>
        <v>364.19535806817396</v>
      </c>
      <c r="EI120" s="3">
        <f t="shared" ref="EI120" si="432">(EH120*$L$4-BH120)/($L$3-$L$4*CT120)</f>
        <v>363.93747710129736</v>
      </c>
      <c r="EJ120" s="3">
        <f t="shared" ref="EJ120" si="433">(EI120*$L$4-BI120)/($L$3-$L$4*CU120)</f>
        <v>364.37004455259591</v>
      </c>
      <c r="EK120" s="3">
        <f t="shared" ref="EK120" si="434">(EJ120*$L$4-BJ120)/($L$3-$L$4*CV120)</f>
        <v>364.94518703515007</v>
      </c>
      <c r="EL120" s="3">
        <f t="shared" ref="EL120" si="435">(EK120*$L$4-BK120)/($L$3-$L$4*CW120)</f>
        <v>365.57160107888592</v>
      </c>
      <c r="EM120" s="3">
        <f t="shared" ref="EM120" si="436">(EL120*$L$4-BL120)/($L$3-$L$4*CX120)</f>
        <v>366.23351118611379</v>
      </c>
      <c r="EN120" s="3">
        <f t="shared" ref="EN120" si="437">(EM120*$L$4-BM120)/($L$3-$L$4*CY120)</f>
        <v>366.93205813272004</v>
      </c>
      <c r="EO120" s="3">
        <f t="shared" ref="EO120" si="438">(EN120*$L$4-BN120)/($L$3-$L$4*CZ120)</f>
        <v>149.14756159602877</v>
      </c>
      <c r="EP120" s="3">
        <f t="shared" si="125"/>
        <v>650</v>
      </c>
      <c r="EQ120" s="3">
        <f t="shared" si="347"/>
        <v>650</v>
      </c>
      <c r="ER120" s="3">
        <f t="shared" si="347"/>
        <v>650</v>
      </c>
      <c r="ES120" s="3">
        <f t="shared" si="347"/>
        <v>650</v>
      </c>
      <c r="ET120" s="3">
        <f t="shared" si="347"/>
        <v>650</v>
      </c>
      <c r="EU120" s="3">
        <f t="shared" si="347"/>
        <v>650</v>
      </c>
      <c r="EV120" s="3">
        <f t="shared" si="347"/>
        <v>650</v>
      </c>
      <c r="EW120" s="3">
        <f t="shared" si="347"/>
        <v>650</v>
      </c>
      <c r="EX120" s="3">
        <f t="shared" si="347"/>
        <v>650</v>
      </c>
      <c r="EY120" s="3">
        <f t="shared" si="347"/>
        <v>650</v>
      </c>
      <c r="EZ120" s="5">
        <v>9</v>
      </c>
      <c r="FA120" s="6">
        <f t="shared" si="279"/>
        <v>7.407407407407407E-2</v>
      </c>
    </row>
    <row r="121" spans="3:157" ht="15" customHeight="1" x14ac:dyDescent="0.3">
      <c r="C121" s="94"/>
      <c r="D121" s="95"/>
      <c r="E121" s="5">
        <v>8</v>
      </c>
      <c r="F121" s="6">
        <f t="shared" si="269"/>
        <v>6.4814814814814811E-2</v>
      </c>
      <c r="G121" s="3">
        <f t="shared" si="337"/>
        <v>600</v>
      </c>
      <c r="H121" s="3">
        <f t="shared" si="337"/>
        <v>600</v>
      </c>
      <c r="I121" s="3">
        <f t="shared" si="337"/>
        <v>600</v>
      </c>
      <c r="J121" s="3">
        <f t="shared" si="337"/>
        <v>600</v>
      </c>
      <c r="K121" s="3">
        <f t="shared" si="337"/>
        <v>600</v>
      </c>
      <c r="L121" s="3">
        <f t="shared" si="337"/>
        <v>600</v>
      </c>
      <c r="M121" s="3">
        <f t="shared" si="337"/>
        <v>600</v>
      </c>
      <c r="N121" s="3">
        <f t="shared" si="337"/>
        <v>600</v>
      </c>
      <c r="O121" s="3">
        <f t="shared" si="337"/>
        <v>600</v>
      </c>
      <c r="P121" s="3">
        <f t="shared" si="410"/>
        <v>607.85604353995564</v>
      </c>
      <c r="Q121" s="3">
        <f t="shared" ref="Q121" si="439">CQ121*R121+EE121</f>
        <v>608.55064016077165</v>
      </c>
      <c r="R121" s="3">
        <f t="shared" ref="R121" si="440">CR121*S121+EF121</f>
        <v>609.45252074757252</v>
      </c>
      <c r="S121" s="3">
        <f t="shared" ref="S121" si="441">CS121*T121+EG121</f>
        <v>610.36844090874604</v>
      </c>
      <c r="T121" s="3">
        <f t="shared" ref="T121" si="442">CT121*U121+EH121</f>
        <v>611.31031349850537</v>
      </c>
      <c r="U121" s="3">
        <f t="shared" ref="U121" si="443">CU121*V121+EI121</f>
        <v>612.28707920309796</v>
      </c>
      <c r="V121" s="3">
        <f t="shared" si="181"/>
        <v>613.30470996295321</v>
      </c>
      <c r="W121" s="3">
        <f t="shared" si="181"/>
        <v>614.36732635795113</v>
      </c>
      <c r="X121" s="3">
        <f t="shared" si="181"/>
        <v>615.47792154173123</v>
      </c>
      <c r="Y121" s="3">
        <f t="shared" si="181"/>
        <v>616.63886700475905</v>
      </c>
      <c r="Z121" s="3">
        <f t="shared" si="181"/>
        <v>617.85236784951974</v>
      </c>
      <c r="AA121" s="3">
        <f t="shared" si="181"/>
        <v>619.11969287595571</v>
      </c>
      <c r="AB121" s="3">
        <f t="shared" si="405"/>
        <v>620.39620905058734</v>
      </c>
      <c r="AC121" s="3">
        <f t="shared" si="339"/>
        <v>650</v>
      </c>
      <c r="AD121" s="3">
        <f t="shared" si="339"/>
        <v>650</v>
      </c>
      <c r="AE121" s="3">
        <f t="shared" si="339"/>
        <v>650</v>
      </c>
      <c r="AF121" s="3">
        <f t="shared" si="339"/>
        <v>650</v>
      </c>
      <c r="AG121" s="3">
        <f t="shared" si="339"/>
        <v>650</v>
      </c>
      <c r="AH121" s="3">
        <f t="shared" si="339"/>
        <v>650</v>
      </c>
      <c r="AI121" s="3">
        <f t="shared" si="339"/>
        <v>650</v>
      </c>
      <c r="AJ121" s="3">
        <f t="shared" si="339"/>
        <v>650</v>
      </c>
      <c r="AK121" s="3">
        <f t="shared" si="339"/>
        <v>650</v>
      </c>
      <c r="AL121" s="5">
        <v>8</v>
      </c>
      <c r="AM121" s="6">
        <f t="shared" si="272"/>
        <v>6.4814814814814811E-2</v>
      </c>
      <c r="AP121" s="102"/>
      <c r="AQ121" s="101"/>
      <c r="AR121" s="5">
        <v>8</v>
      </c>
      <c r="AS121" s="6">
        <f t="shared" si="273"/>
        <v>6.4814814814814811E-2</v>
      </c>
      <c r="AT121" s="3">
        <f t="shared" si="340"/>
        <v>600</v>
      </c>
      <c r="AU121" s="3">
        <f t="shared" si="340"/>
        <v>600</v>
      </c>
      <c r="AV121" s="3">
        <f t="shared" si="340"/>
        <v>600</v>
      </c>
      <c r="AW121" s="3">
        <f t="shared" si="340"/>
        <v>600</v>
      </c>
      <c r="AX121" s="3">
        <f t="shared" si="340"/>
        <v>600</v>
      </c>
      <c r="AY121" s="3">
        <f t="shared" si="340"/>
        <v>600</v>
      </c>
      <c r="AZ121" s="3">
        <f t="shared" si="340"/>
        <v>600</v>
      </c>
      <c r="BA121" s="3">
        <f t="shared" si="340"/>
        <v>600</v>
      </c>
      <c r="BB121" s="3">
        <f t="shared" si="340"/>
        <v>600</v>
      </c>
      <c r="BC121" s="7"/>
      <c r="BD121" s="3">
        <f t="shared" ref="BD121" si="444">-($F$3*$F$2)/$B$8*Q58</f>
        <v>-2182621541.2776713</v>
      </c>
      <c r="BE121" s="3">
        <f t="shared" ref="BE121" si="445">-($F$3*$F$2)/$B$8*R58</f>
        <v>-2186657520.6043868</v>
      </c>
      <c r="BF121" s="3">
        <f t="shared" ref="BF121" si="446">-($F$3*$F$2)/$B$8*S58</f>
        <v>-2189894522.9262352</v>
      </c>
      <c r="BG121" s="3">
        <f t="shared" ref="BG121" si="447">-($F$3*$F$2)/$B$8*T58</f>
        <v>-2193236947.3372278</v>
      </c>
      <c r="BH121" s="3">
        <f t="shared" ref="BH121" si="448">-($F$3*$F$2)/$B$8*U58</f>
        <v>-2196716858.8519287</v>
      </c>
      <c r="BI121" s="3">
        <f t="shared" si="215"/>
        <v>-2200351058.817585</v>
      </c>
      <c r="BJ121" s="3">
        <f t="shared" ref="BJ121" si="449">-($F$3*$F$2)/$B$8*W58</f>
        <v>-2204151334.7867694</v>
      </c>
      <c r="BK121" s="3">
        <f t="shared" ref="BK121" si="450">-($F$3*$F$2)/$B$8*X58</f>
        <v>-2208126332.3356466</v>
      </c>
      <c r="BL121" s="3">
        <f t="shared" ref="BL121" si="451">-($F$3*$F$2)/$B$8*Y58</f>
        <v>-2212282675.5327015</v>
      </c>
      <c r="BM121" s="3">
        <f t="shared" ref="BM121" si="452">-($F$3*$F$2)/$B$8*Z58</f>
        <v>-2216631463.7319412</v>
      </c>
      <c r="BN121" s="3">
        <f t="shared" ref="BN121" si="453">-($F$3*$F$2)/$B$8*AA58</f>
        <v>-2221363406.6853991</v>
      </c>
      <c r="BO121" s="7"/>
      <c r="BP121" s="3">
        <f t="shared" si="341"/>
        <v>650</v>
      </c>
      <c r="BQ121" s="3">
        <f t="shared" si="341"/>
        <v>650</v>
      </c>
      <c r="BR121" s="3">
        <f t="shared" si="341"/>
        <v>650</v>
      </c>
      <c r="BS121" s="3">
        <f t="shared" si="341"/>
        <v>650</v>
      </c>
      <c r="BT121" s="3">
        <f t="shared" si="341"/>
        <v>650</v>
      </c>
      <c r="BU121" s="3">
        <f t="shared" si="341"/>
        <v>650</v>
      </c>
      <c r="BV121" s="3">
        <f t="shared" si="341"/>
        <v>650</v>
      </c>
      <c r="BW121" s="3">
        <f t="shared" si="341"/>
        <v>650</v>
      </c>
      <c r="BX121" s="3">
        <f t="shared" si="341"/>
        <v>650</v>
      </c>
      <c r="BY121" s="5">
        <v>8</v>
      </c>
      <c r="BZ121" s="6">
        <f t="shared" si="274"/>
        <v>6.4814814814814811E-2</v>
      </c>
      <c r="CC121" s="94"/>
      <c r="CD121" s="95"/>
      <c r="CE121" s="5">
        <v>8</v>
      </c>
      <c r="CF121" s="6">
        <f t="shared" si="275"/>
        <v>6.4814814814814811E-2</v>
      </c>
      <c r="CG121" s="3">
        <f t="shared" si="342"/>
        <v>600</v>
      </c>
      <c r="CH121" s="3">
        <f t="shared" si="342"/>
        <v>600</v>
      </c>
      <c r="CI121" s="3">
        <f t="shared" si="342"/>
        <v>600</v>
      </c>
      <c r="CJ121" s="3">
        <f t="shared" si="342"/>
        <v>600</v>
      </c>
      <c r="CK121" s="3">
        <f t="shared" si="342"/>
        <v>600</v>
      </c>
      <c r="CL121" s="3">
        <f t="shared" si="342"/>
        <v>600</v>
      </c>
      <c r="CM121" s="3">
        <f t="shared" si="342"/>
        <v>600</v>
      </c>
      <c r="CN121" s="3">
        <f t="shared" si="342"/>
        <v>600</v>
      </c>
      <c r="CO121" s="3">
        <f t="shared" si="342"/>
        <v>600</v>
      </c>
      <c r="CP121" s="3">
        <v>0</v>
      </c>
      <c r="CQ121" s="3">
        <f t="shared" si="424"/>
        <v>0.34883720930232553</v>
      </c>
      <c r="CR121" s="3">
        <f t="shared" si="424"/>
        <v>0.39716748768472904</v>
      </c>
      <c r="CS121" s="3">
        <f t="shared" ref="CS121:CT121" si="454">$L$2/($L$3-$L$4*CR121)</f>
        <v>0.40494040593779607</v>
      </c>
      <c r="CT121" s="3">
        <f t="shared" si="454"/>
        <v>0.4062190081621499</v>
      </c>
      <c r="CU121" s="3">
        <f t="shared" ref="CU121:CW121" si="455">$L$2/($L$3-$L$4*CT121)</f>
        <v>0.40643010492156101</v>
      </c>
      <c r="CV121" s="3">
        <f t="shared" si="455"/>
        <v>0.40646497802255066</v>
      </c>
      <c r="CW121" s="3">
        <f t="shared" si="455"/>
        <v>0.40647073962099717</v>
      </c>
      <c r="CX121" s="3">
        <f t="shared" ref="CX121:CY121" si="456">$L$2/($L$3-$L$4*CW121)</f>
        <v>0.40647169154566137</v>
      </c>
      <c r="CY121" s="3">
        <f t="shared" si="456"/>
        <v>0.40647184882198806</v>
      </c>
      <c r="CZ121" s="3">
        <f t="shared" ref="CZ121:DA121" si="457">$L$2/($L$3-$L$4*CY121)</f>
        <v>0.40647187480708435</v>
      </c>
      <c r="DA121" s="3">
        <f t="shared" si="457"/>
        <v>0.40647187910032606</v>
      </c>
      <c r="DB121" s="3">
        <f t="shared" ref="DB121" si="458">$L$2/($L$3-$L$4*DA121)</f>
        <v>0.40647187980965277</v>
      </c>
      <c r="DC121" s="3">
        <f t="shared" si="345"/>
        <v>650</v>
      </c>
      <c r="DD121" s="3">
        <f t="shared" si="345"/>
        <v>650</v>
      </c>
      <c r="DE121" s="3">
        <f t="shared" si="345"/>
        <v>650</v>
      </c>
      <c r="DF121" s="3">
        <f t="shared" si="345"/>
        <v>650</v>
      </c>
      <c r="DG121" s="3">
        <f t="shared" si="345"/>
        <v>650</v>
      </c>
      <c r="DH121" s="3">
        <f t="shared" si="345"/>
        <v>650</v>
      </c>
      <c r="DI121" s="3">
        <f t="shared" si="345"/>
        <v>650</v>
      </c>
      <c r="DJ121" s="3">
        <f t="shared" si="345"/>
        <v>650</v>
      </c>
      <c r="DK121" s="3">
        <f t="shared" si="345"/>
        <v>650</v>
      </c>
      <c r="DL121" s="5">
        <v>8</v>
      </c>
      <c r="DM121" s="6">
        <f t="shared" si="277"/>
        <v>6.4814814814814811E-2</v>
      </c>
      <c r="DQ121" s="94"/>
      <c r="DR121" s="95"/>
      <c r="DS121" s="5">
        <v>8</v>
      </c>
      <c r="DT121" s="6">
        <f t="shared" si="278"/>
        <v>6.4814814814814811E-2</v>
      </c>
      <c r="DU121" s="3">
        <f t="shared" si="346"/>
        <v>600</v>
      </c>
      <c r="DV121" s="3">
        <f t="shared" si="346"/>
        <v>600</v>
      </c>
      <c r="DW121" s="3">
        <f t="shared" si="346"/>
        <v>600</v>
      </c>
      <c r="DX121" s="3">
        <f t="shared" si="346"/>
        <v>600</v>
      </c>
      <c r="DY121" s="3">
        <f t="shared" si="346"/>
        <v>600</v>
      </c>
      <c r="DZ121" s="3">
        <f t="shared" si="346"/>
        <v>600</v>
      </c>
      <c r="EA121" s="3">
        <f t="shared" si="346"/>
        <v>600</v>
      </c>
      <c r="EB121" s="3">
        <f t="shared" si="346"/>
        <v>600</v>
      </c>
      <c r="EC121" s="3">
        <f t="shared" si="346"/>
        <v>600</v>
      </c>
      <c r="ED121" s="3">
        <f t="shared" si="352"/>
        <v>607.85604353995564</v>
      </c>
      <c r="EE121" s="3">
        <f t="shared" ref="EE121" si="459">(ED121*$L$4-BD121)/($L$3-$L$4*CP121)</f>
        <v>395.95092362092078</v>
      </c>
      <c r="EF121" s="3">
        <f t="shared" ref="EF121" si="460">(EE121*$L$4-BE121)/($L$3-$L$4*CQ121)</f>
        <v>367.03402050980083</v>
      </c>
      <c r="EG121" s="3">
        <f t="shared" ref="EG121" si="461">(EF121*$L$4-BF121)/($L$3-$L$4*CR121)</f>
        <v>362.82419440669986</v>
      </c>
      <c r="EH121" s="3">
        <f t="shared" ref="EH121" si="462">(EG121*$L$4-BG121)/($L$3-$L$4*CS121)</f>
        <v>362.58766347412313</v>
      </c>
      <c r="EI121" s="3">
        <f t="shared" ref="EI121" si="463">(EH121*$L$4-BH121)/($L$3-$L$4*CT121)</f>
        <v>363.02158158396736</v>
      </c>
      <c r="EJ121" s="3">
        <f t="shared" si="221"/>
        <v>363.58590815709539</v>
      </c>
      <c r="EK121" s="3">
        <f t="shared" si="222"/>
        <v>364.19356036848956</v>
      </c>
      <c r="EL121" s="3">
        <f t="shared" ref="EL121" si="464">(EK121*$L$4-BK121)/($L$3-$L$4*CW121)</f>
        <v>364.83167819750673</v>
      </c>
      <c r="EM121" s="3">
        <f t="shared" ref="EM121" si="465">(EL121*$L$4-BL121)/($L$3-$L$4*CX121)</f>
        <v>365.49927274592176</v>
      </c>
      <c r="EN121" s="3">
        <f t="shared" ref="EN121" si="466">(EM121*$L$4-BM121)/($L$3-$L$4*CY121)</f>
        <v>366.19762555624374</v>
      </c>
      <c r="EO121" s="3">
        <f t="shared" ref="EO121" si="467">(EN121*$L$4-BN121)/($L$3-$L$4*CZ121)</f>
        <v>366.94607999644478</v>
      </c>
      <c r="EP121" s="3">
        <f t="shared" ref="EP121" si="468">(EO121*$L$4-BO121)/($L$3-$L$4*DA121)</f>
        <v>149.15326292493813</v>
      </c>
      <c r="EQ121" s="3">
        <f t="shared" si="347"/>
        <v>650</v>
      </c>
      <c r="ER121" s="3">
        <f t="shared" si="347"/>
        <v>650</v>
      </c>
      <c r="ES121" s="3">
        <f t="shared" si="347"/>
        <v>650</v>
      </c>
      <c r="ET121" s="3">
        <f t="shared" si="347"/>
        <v>650</v>
      </c>
      <c r="EU121" s="3">
        <f t="shared" si="347"/>
        <v>650</v>
      </c>
      <c r="EV121" s="3">
        <f t="shared" si="347"/>
        <v>650</v>
      </c>
      <c r="EW121" s="3">
        <f t="shared" si="347"/>
        <v>650</v>
      </c>
      <c r="EX121" s="3">
        <f t="shared" si="347"/>
        <v>650</v>
      </c>
      <c r="EY121" s="3">
        <f t="shared" si="347"/>
        <v>650</v>
      </c>
      <c r="EZ121" s="5">
        <v>8</v>
      </c>
      <c r="FA121" s="6">
        <f t="shared" si="279"/>
        <v>6.4814814814814811E-2</v>
      </c>
    </row>
    <row r="122" spans="3:157" ht="15" customHeight="1" x14ac:dyDescent="0.3">
      <c r="C122" s="94"/>
      <c r="D122" s="95"/>
      <c r="E122" s="5">
        <v>7</v>
      </c>
      <c r="F122" s="6">
        <f t="shared" si="269"/>
        <v>5.5555555555555552E-2</v>
      </c>
      <c r="G122" s="3">
        <f t="shared" ref="G122:N122" si="469">$R$2</f>
        <v>600</v>
      </c>
      <c r="H122" s="3">
        <f t="shared" si="469"/>
        <v>600</v>
      </c>
      <c r="I122" s="3">
        <f t="shared" si="469"/>
        <v>600</v>
      </c>
      <c r="J122" s="3">
        <f t="shared" si="469"/>
        <v>600</v>
      </c>
      <c r="K122" s="3">
        <f t="shared" si="469"/>
        <v>600</v>
      </c>
      <c r="L122" s="3">
        <f t="shared" si="469"/>
        <v>600</v>
      </c>
      <c r="M122" s="3">
        <f t="shared" si="469"/>
        <v>600</v>
      </c>
      <c r="N122" s="3">
        <f t="shared" si="469"/>
        <v>600</v>
      </c>
      <c r="O122" s="3">
        <f t="shared" si="410"/>
        <v>606.03105658735433</v>
      </c>
      <c r="P122" s="3">
        <f t="shared" ref="P122" si="470">CP122*Q122+ED122</f>
        <v>606.61652123901797</v>
      </c>
      <c r="Q122" s="3">
        <f t="shared" ref="Q122" si="471">CQ122*R122+EE122</f>
        <v>607.40637898246882</v>
      </c>
      <c r="R122" s="3">
        <f t="shared" ref="R122" si="472">CR122*S122+EF122</f>
        <v>608.26141108959428</v>
      </c>
      <c r="S122" s="3">
        <f t="shared" ref="S122" si="473">CS122*T122+EG122</f>
        <v>609.15385088891105</v>
      </c>
      <c r="T122" s="3">
        <f t="shared" ref="T122" si="474">CT122*U122+EH122</f>
        <v>610.08377534070064</v>
      </c>
      <c r="U122" s="3">
        <f t="shared" ref="U122" si="475">CU122*V122+EI122</f>
        <v>611.05286511434156</v>
      </c>
      <c r="V122" s="3">
        <f t="shared" si="181"/>
        <v>612.06325603648111</v>
      </c>
      <c r="W122" s="3">
        <f t="shared" si="181"/>
        <v>613.11704654719517</v>
      </c>
      <c r="X122" s="3">
        <f t="shared" si="181"/>
        <v>614.21602927675156</v>
      </c>
      <c r="Y122" s="3">
        <f t="shared" si="181"/>
        <v>615.36150541436621</v>
      </c>
      <c r="Z122" s="3">
        <f t="shared" si="181"/>
        <v>616.55408088513695</v>
      </c>
      <c r="AA122" s="3">
        <f t="shared" si="181"/>
        <v>617.79318432458979</v>
      </c>
      <c r="AB122" s="3">
        <f t="shared" si="181"/>
        <v>619.07122031719484</v>
      </c>
      <c r="AC122" s="3">
        <f t="shared" si="405"/>
        <v>620.35432009394572</v>
      </c>
      <c r="AD122" s="3">
        <f t="shared" ref="AD122:AK122" si="476">$R$3</f>
        <v>650</v>
      </c>
      <c r="AE122" s="3">
        <f t="shared" si="476"/>
        <v>650</v>
      </c>
      <c r="AF122" s="3">
        <f t="shared" si="476"/>
        <v>650</v>
      </c>
      <c r="AG122" s="3">
        <f t="shared" si="476"/>
        <v>650</v>
      </c>
      <c r="AH122" s="3">
        <f t="shared" si="476"/>
        <v>650</v>
      </c>
      <c r="AI122" s="3">
        <f t="shared" si="476"/>
        <v>650</v>
      </c>
      <c r="AJ122" s="3">
        <f t="shared" si="476"/>
        <v>650</v>
      </c>
      <c r="AK122" s="3">
        <f t="shared" si="476"/>
        <v>650</v>
      </c>
      <c r="AL122" s="5">
        <v>7</v>
      </c>
      <c r="AM122" s="6">
        <f t="shared" si="272"/>
        <v>5.5555555555555552E-2</v>
      </c>
      <c r="AP122" s="102"/>
      <c r="AQ122" s="101"/>
      <c r="AR122" s="5">
        <v>7</v>
      </c>
      <c r="AS122" s="6">
        <f t="shared" si="273"/>
        <v>5.5555555555555552E-2</v>
      </c>
      <c r="AT122" s="3">
        <f t="shared" ref="AT122:BA122" si="477">$R$2</f>
        <v>600</v>
      </c>
      <c r="AU122" s="3">
        <f t="shared" si="477"/>
        <v>600</v>
      </c>
      <c r="AV122" s="3">
        <f t="shared" si="477"/>
        <v>600</v>
      </c>
      <c r="AW122" s="3">
        <f t="shared" si="477"/>
        <v>600</v>
      </c>
      <c r="AX122" s="3">
        <f t="shared" si="477"/>
        <v>600</v>
      </c>
      <c r="AY122" s="3">
        <f t="shared" si="477"/>
        <v>600</v>
      </c>
      <c r="AZ122" s="3">
        <f t="shared" si="477"/>
        <v>600</v>
      </c>
      <c r="BA122" s="3">
        <f t="shared" si="477"/>
        <v>600</v>
      </c>
      <c r="BB122" s="7"/>
      <c r="BC122" s="3">
        <f t="shared" ref="BC122" si="478">-($F$3*$F$2)/$B$8*P59</f>
        <v>-2175693890.8055968</v>
      </c>
      <c r="BD122" s="3">
        <f t="shared" ref="BD122" si="479">-($F$3*$F$2)/$B$8*Q59</f>
        <v>-2179104265.9234858</v>
      </c>
      <c r="BE122" s="3">
        <f t="shared" ref="BE122" si="480">-($F$3*$F$2)/$B$8*R59</f>
        <v>-2182287075.1437917</v>
      </c>
      <c r="BF122" s="3">
        <f t="shared" ref="BF122" si="481">-($F$3*$F$2)/$B$8*S59</f>
        <v>-2185488830.5281763</v>
      </c>
      <c r="BG122" s="3">
        <f t="shared" ref="BG122" si="482">-($F$3*$F$2)/$B$8*T59</f>
        <v>-2188818441.4899693</v>
      </c>
      <c r="BH122" s="3">
        <f t="shared" ref="BH122" si="483">-($F$3*$F$2)/$B$8*U59</f>
        <v>-2192286693.2754726</v>
      </c>
      <c r="BI122" s="3">
        <f t="shared" ref="BI122" si="484">-($F$3*$F$2)/$B$8*V59</f>
        <v>-2195903288.362195</v>
      </c>
      <c r="BJ122" s="3">
        <f t="shared" ref="BJ122" si="485">-($F$3*$F$2)/$B$8*W59</f>
        <v>-2199676867.2253299</v>
      </c>
      <c r="BK122" s="3">
        <f t="shared" ref="BK122" si="486">-($F$3*$F$2)/$B$8*X59</f>
        <v>-2203614630.3356228</v>
      </c>
      <c r="BL122" s="3">
        <f t="shared" ref="BL122" si="487">-($F$3*$F$2)/$B$8*Y59</f>
        <v>-2207722090.18748</v>
      </c>
      <c r="BM122" s="3">
        <f t="shared" ref="BM122" si="488">-($F$3*$F$2)/$B$8*Z59</f>
        <v>-2212003416.4255271</v>
      </c>
      <c r="BN122" s="3">
        <f t="shared" ref="BN122" si="489">-($F$3*$F$2)/$B$8*AA59</f>
        <v>-2216480764.5865779</v>
      </c>
      <c r="BO122" s="3">
        <f t="shared" ref="BO122" si="490">-($F$3*$F$2)/$B$8*AB59</f>
        <v>-2221206574.4317327</v>
      </c>
      <c r="BP122" s="7"/>
      <c r="BQ122" s="3">
        <f t="shared" ref="BQ122:BX122" si="491">$R$3</f>
        <v>650</v>
      </c>
      <c r="BR122" s="3">
        <f t="shared" si="491"/>
        <v>650</v>
      </c>
      <c r="BS122" s="3">
        <f t="shared" si="491"/>
        <v>650</v>
      </c>
      <c r="BT122" s="3">
        <f t="shared" si="491"/>
        <v>650</v>
      </c>
      <c r="BU122" s="3">
        <f t="shared" si="491"/>
        <v>650</v>
      </c>
      <c r="BV122" s="3">
        <f t="shared" si="491"/>
        <v>650</v>
      </c>
      <c r="BW122" s="3">
        <f t="shared" si="491"/>
        <v>650</v>
      </c>
      <c r="BX122" s="3">
        <f t="shared" si="491"/>
        <v>650</v>
      </c>
      <c r="BY122" s="5">
        <v>7</v>
      </c>
      <c r="BZ122" s="6">
        <f t="shared" si="274"/>
        <v>5.5555555555555552E-2</v>
      </c>
      <c r="CC122" s="94"/>
      <c r="CD122" s="95"/>
      <c r="CE122" s="5">
        <v>7</v>
      </c>
      <c r="CF122" s="6">
        <f t="shared" si="275"/>
        <v>5.5555555555555552E-2</v>
      </c>
      <c r="CG122" s="3">
        <f t="shared" ref="CG122:CN122" si="492">$R$2</f>
        <v>600</v>
      </c>
      <c r="CH122" s="3">
        <f t="shared" si="492"/>
        <v>600</v>
      </c>
      <c r="CI122" s="3">
        <f t="shared" si="492"/>
        <v>600</v>
      </c>
      <c r="CJ122" s="3">
        <f t="shared" si="492"/>
        <v>600</v>
      </c>
      <c r="CK122" s="3">
        <f t="shared" si="492"/>
        <v>600</v>
      </c>
      <c r="CL122" s="3">
        <f t="shared" si="492"/>
        <v>600</v>
      </c>
      <c r="CM122" s="3">
        <f t="shared" si="492"/>
        <v>600</v>
      </c>
      <c r="CN122" s="3">
        <f t="shared" si="492"/>
        <v>600</v>
      </c>
      <c r="CO122" s="3">
        <v>0</v>
      </c>
      <c r="CP122" s="3">
        <f t="shared" si="424"/>
        <v>0.34883720930232553</v>
      </c>
      <c r="CQ122" s="3">
        <f t="shared" si="424"/>
        <v>0.39716748768472904</v>
      </c>
      <c r="CR122" s="3">
        <f t="shared" si="424"/>
        <v>0.40494040593779607</v>
      </c>
      <c r="CS122" s="3">
        <f t="shared" si="424"/>
        <v>0.4062190081621499</v>
      </c>
      <c r="CT122" s="3">
        <f t="shared" si="424"/>
        <v>0.40643010492156101</v>
      </c>
      <c r="CU122" s="3">
        <f t="shared" ref="CU122:CW122" si="493">$L$2/($L$3-$L$4*CT122)</f>
        <v>0.40646497802255066</v>
      </c>
      <c r="CV122" s="3">
        <f t="shared" si="493"/>
        <v>0.40647073962099717</v>
      </c>
      <c r="CW122" s="3">
        <f t="shared" si="493"/>
        <v>0.40647169154566137</v>
      </c>
      <c r="CX122" s="3">
        <f t="shared" ref="CX122:CY122" si="494">$L$2/($L$3-$L$4*CW122)</f>
        <v>0.40647184882198806</v>
      </c>
      <c r="CY122" s="3">
        <f t="shared" si="494"/>
        <v>0.40647187480708435</v>
      </c>
      <c r="CZ122" s="3">
        <f t="shared" ref="CZ122:DA122" si="495">$L$2/($L$3-$L$4*CY122)</f>
        <v>0.40647187910032606</v>
      </c>
      <c r="DA122" s="3">
        <f t="shared" si="495"/>
        <v>0.40647187980965277</v>
      </c>
      <c r="DB122" s="3">
        <f t="shared" ref="DB122" si="496">$L$2/($L$3-$L$4*DA122)</f>
        <v>0.4064718799268473</v>
      </c>
      <c r="DC122" s="3">
        <f t="shared" si="424"/>
        <v>0.40647187994621015</v>
      </c>
      <c r="DD122" s="3">
        <f t="shared" ref="DD122:DK122" si="497">$R$3</f>
        <v>650</v>
      </c>
      <c r="DE122" s="3">
        <f t="shared" si="497"/>
        <v>650</v>
      </c>
      <c r="DF122" s="3">
        <f t="shared" si="497"/>
        <v>650</v>
      </c>
      <c r="DG122" s="3">
        <f t="shared" si="497"/>
        <v>650</v>
      </c>
      <c r="DH122" s="3">
        <f t="shared" si="497"/>
        <v>650</v>
      </c>
      <c r="DI122" s="3">
        <f t="shared" si="497"/>
        <v>650</v>
      </c>
      <c r="DJ122" s="3">
        <f t="shared" si="497"/>
        <v>650</v>
      </c>
      <c r="DK122" s="3">
        <f t="shared" si="497"/>
        <v>650</v>
      </c>
      <c r="DL122" s="5">
        <v>7</v>
      </c>
      <c r="DM122" s="6">
        <f t="shared" si="277"/>
        <v>5.5555555555555552E-2</v>
      </c>
      <c r="DQ122" s="94"/>
      <c r="DR122" s="95"/>
      <c r="DS122" s="5">
        <v>7</v>
      </c>
      <c r="DT122" s="6">
        <f t="shared" si="278"/>
        <v>5.5555555555555552E-2</v>
      </c>
      <c r="DU122" s="3">
        <f t="shared" ref="DU122:EB122" si="498">$R$2</f>
        <v>600</v>
      </c>
      <c r="DV122" s="3">
        <f t="shared" si="498"/>
        <v>600</v>
      </c>
      <c r="DW122" s="3">
        <f t="shared" si="498"/>
        <v>600</v>
      </c>
      <c r="DX122" s="3">
        <f t="shared" si="498"/>
        <v>600</v>
      </c>
      <c r="DY122" s="3">
        <f t="shared" si="498"/>
        <v>600</v>
      </c>
      <c r="DZ122" s="3">
        <f t="shared" si="498"/>
        <v>600</v>
      </c>
      <c r="EA122" s="3">
        <f t="shared" si="498"/>
        <v>600</v>
      </c>
      <c r="EB122" s="3">
        <f t="shared" si="498"/>
        <v>600</v>
      </c>
      <c r="EC122" s="3">
        <f t="shared" si="352"/>
        <v>606.03105658735433</v>
      </c>
      <c r="ED122" s="3">
        <f t="shared" ref="ED122" si="499">(EC122*$L$4-BC122)/($L$3-$L$4*CO122)</f>
        <v>394.7305750823428</v>
      </c>
      <c r="EE122" s="3">
        <f t="shared" ref="EE122" si="500">(ED122*$L$4-BD122)/($L$3-$L$4*CP122)</f>
        <v>365.82472248444651</v>
      </c>
      <c r="EF122" s="3">
        <f t="shared" ref="EF122" si="501">(EE122*$L$4-BE122)/($L$3-$L$4*CQ122)</f>
        <v>361.59040343206692</v>
      </c>
      <c r="EG122" s="3">
        <f t="shared" ref="EG122" si="502">(EF122*$L$4-BF122)/($L$3-$L$4*CR122)</f>
        <v>361.32622477419176</v>
      </c>
      <c r="EH122" s="3">
        <f t="shared" ref="EH122" si="503">(EG122*$L$4-BG122)/($L$3-$L$4*CS122)</f>
        <v>361.7334952596583</v>
      </c>
      <c r="EI122" s="3">
        <f t="shared" ref="EI122" si="504">(EH122*$L$4-BH122)/($L$3-$L$4*CT122)</f>
        <v>362.27058720106243</v>
      </c>
      <c r="EJ122" s="3">
        <f t="shared" ref="EJ122" si="505">(EI122*$L$4-BI122)/($L$3-$L$4*CU122)</f>
        <v>362.8491166522013</v>
      </c>
      <c r="EK122" s="3">
        <f t="shared" ref="EK122" si="506">(EJ122*$L$4-BJ122)/($L$3-$L$4*CV122)</f>
        <v>363.45561815261453</v>
      </c>
      <c r="EL122" s="3">
        <f t="shared" ref="EL122" si="507">(EK122*$L$4-BK122)/($L$3-$L$4*CW122)</f>
        <v>364.0889004770923</v>
      </c>
      <c r="EM122" s="3">
        <f t="shared" ref="EM122" si="508">(EL122*$L$4-BL122)/($L$3-$L$4*CX122)</f>
        <v>364.74961223702581</v>
      </c>
      <c r="EN122" s="3">
        <f t="shared" ref="EN122" si="509">(EM122*$L$4-BM122)/($L$3-$L$4*CY122)</f>
        <v>365.43852435734686</v>
      </c>
      <c r="EO122" s="3">
        <f t="shared" ref="EO122" si="510">(EN122*$L$4-BN122)/($L$3-$L$4*CZ122)</f>
        <v>366.1581416662039</v>
      </c>
      <c r="EP122" s="3">
        <f t="shared" ref="EP122" si="511">(EO122*$L$4-BO122)/($L$3-$L$4*DA122)</f>
        <v>366.91463360786759</v>
      </c>
      <c r="EQ122" s="3">
        <f t="shared" ref="EQ122" si="512">(EP122*$L$4-BP122)/($L$3-$L$4*DB122)</f>
        <v>149.14048090236483</v>
      </c>
      <c r="ER122" s="3">
        <f t="shared" ref="ER122:EY122" si="513">$R$3</f>
        <v>650</v>
      </c>
      <c r="ES122" s="3">
        <f t="shared" si="513"/>
        <v>650</v>
      </c>
      <c r="ET122" s="3">
        <f t="shared" si="513"/>
        <v>650</v>
      </c>
      <c r="EU122" s="3">
        <f t="shared" si="513"/>
        <v>650</v>
      </c>
      <c r="EV122" s="3">
        <f t="shared" si="513"/>
        <v>650</v>
      </c>
      <c r="EW122" s="3">
        <f t="shared" si="513"/>
        <v>650</v>
      </c>
      <c r="EX122" s="3">
        <f t="shared" si="513"/>
        <v>650</v>
      </c>
      <c r="EY122" s="3">
        <f t="shared" si="513"/>
        <v>650</v>
      </c>
      <c r="EZ122" s="5">
        <v>7</v>
      </c>
      <c r="FA122" s="6">
        <f t="shared" si="279"/>
        <v>5.5555555555555552E-2</v>
      </c>
    </row>
    <row r="123" spans="3:157" ht="15" customHeight="1" x14ac:dyDescent="0.3">
      <c r="C123" s="94"/>
      <c r="D123" s="95"/>
      <c r="E123" s="5">
        <v>6</v>
      </c>
      <c r="F123" s="6">
        <f t="shared" si="269"/>
        <v>4.6296296296296294E-2</v>
      </c>
      <c r="G123" s="3">
        <f t="shared" ref="G123:L123" si="514">$R$2</f>
        <v>600</v>
      </c>
      <c r="H123" s="3">
        <f t="shared" si="514"/>
        <v>600</v>
      </c>
      <c r="I123" s="3">
        <f t="shared" si="514"/>
        <v>600</v>
      </c>
      <c r="J123" s="3">
        <f t="shared" si="514"/>
        <v>600</v>
      </c>
      <c r="K123" s="3">
        <f t="shared" si="514"/>
        <v>600</v>
      </c>
      <c r="L123" s="3">
        <f t="shared" si="514"/>
        <v>600</v>
      </c>
      <c r="M123" s="3">
        <f t="shared" si="410"/>
        <v>603.20753409233726</v>
      </c>
      <c r="N123" s="3">
        <f t="shared" ref="N123" si="515">CN123*O123+EB123</f>
        <v>603.70940714916105</v>
      </c>
      <c r="O123" s="3">
        <f t="shared" ref="O123" si="516">CO123*P123+EC123</f>
        <v>604.48508538392639</v>
      </c>
      <c r="P123" s="3">
        <f t="shared" ref="P123" si="517">CP123*Q123+ED123</f>
        <v>605.37035515698312</v>
      </c>
      <c r="Q123" s="3">
        <f t="shared" ref="Q123" si="518">CQ123*R123+EE123</f>
        <v>606.25145670950462</v>
      </c>
      <c r="R123" s="3">
        <f t="shared" ref="R123" si="519">CR123*S123+EF123</f>
        <v>607.13645696505239</v>
      </c>
      <c r="S123" s="3">
        <f t="shared" ref="S123" si="520">CS123*T123+EG123</f>
        <v>608.03665102430978</v>
      </c>
      <c r="T123" s="3">
        <f t="shared" ref="T123" si="521">CT123*U123+EH123</f>
        <v>608.96183571020799</v>
      </c>
      <c r="U123" s="3">
        <f t="shared" ref="U123" si="522">CU123*V123+EI123</f>
        <v>609.91906287019776</v>
      </c>
      <c r="V123" s="3">
        <f t="shared" si="181"/>
        <v>610.91360951235049</v>
      </c>
      <c r="W123" s="3">
        <f t="shared" si="181"/>
        <v>611.94963956713673</v>
      </c>
      <c r="X123" s="3">
        <f t="shared" si="181"/>
        <v>613.0306967301259</v>
      </c>
      <c r="Y123" s="3">
        <f t="shared" si="181"/>
        <v>614.16014137377181</v>
      </c>
      <c r="Z123" s="3">
        <f t="shared" si="181"/>
        <v>615.34162803184972</v>
      </c>
      <c r="AA123" s="3">
        <f t="shared" si="181"/>
        <v>616.57971162374156</v>
      </c>
      <c r="AB123" s="3">
        <f t="shared" si="181"/>
        <v>617.8801639239407</v>
      </c>
      <c r="AC123" s="3">
        <f t="shared" ref="AC123:AC128" si="523">DC123*AD123+EQ123</f>
        <v>619.2497205272166</v>
      </c>
      <c r="AD123" s="3">
        <f t="shared" ref="AD123:AD128" si="524">DD123*AE123+ER123</f>
        <v>620.65563690653903</v>
      </c>
      <c r="AE123" s="3">
        <f t="shared" si="405"/>
        <v>621.97453777576459</v>
      </c>
      <c r="AF123" s="3">
        <f t="shared" ref="AF123:AK123" si="525">$R$3</f>
        <v>650</v>
      </c>
      <c r="AG123" s="3">
        <f t="shared" si="525"/>
        <v>650</v>
      </c>
      <c r="AH123" s="3">
        <f t="shared" si="525"/>
        <v>650</v>
      </c>
      <c r="AI123" s="3">
        <f t="shared" si="525"/>
        <v>650</v>
      </c>
      <c r="AJ123" s="3">
        <f t="shared" si="525"/>
        <v>650</v>
      </c>
      <c r="AK123" s="3">
        <f t="shared" si="525"/>
        <v>650</v>
      </c>
      <c r="AL123" s="5">
        <v>6</v>
      </c>
      <c r="AM123" s="6">
        <f t="shared" si="272"/>
        <v>4.6296296296296294E-2</v>
      </c>
      <c r="AP123" s="102"/>
      <c r="AQ123" s="101"/>
      <c r="AR123" s="5">
        <v>6</v>
      </c>
      <c r="AS123" s="6">
        <f t="shared" si="273"/>
        <v>4.6296296296296294E-2</v>
      </c>
      <c r="AT123" s="3">
        <f t="shared" ref="AT123:AY123" si="526">$R$2</f>
        <v>600</v>
      </c>
      <c r="AU123" s="3">
        <f t="shared" si="526"/>
        <v>600</v>
      </c>
      <c r="AV123" s="3">
        <f t="shared" si="526"/>
        <v>600</v>
      </c>
      <c r="AW123" s="3">
        <f t="shared" si="526"/>
        <v>600</v>
      </c>
      <c r="AX123" s="3">
        <f t="shared" si="526"/>
        <v>600</v>
      </c>
      <c r="AY123" s="3">
        <f t="shared" si="526"/>
        <v>600</v>
      </c>
      <c r="AZ123" s="7"/>
      <c r="BA123" s="3">
        <f t="shared" ref="BA123" si="527">-($F$3*$F$2)/$B$8*N60</f>
        <v>-2164975799.4145117</v>
      </c>
      <c r="BB123" s="3">
        <f t="shared" ref="BB123" si="528">-($F$3*$F$2)/$B$8*O60</f>
        <v>-2168438777.3890009</v>
      </c>
      <c r="BC123" s="3">
        <f t="shared" ref="BC123" si="529">-($F$3*$F$2)/$B$8*P60</f>
        <v>-2172086090.7362709</v>
      </c>
      <c r="BD123" s="3">
        <f t="shared" ref="BD123" si="530">-($F$3*$F$2)/$B$8*Q60</f>
        <v>-2175214086.0431743</v>
      </c>
      <c r="BE123" s="3">
        <f t="shared" ref="BE123" si="531">-($F$3*$F$2)/$B$8*R60</f>
        <v>-2178342705.2432494</v>
      </c>
      <c r="BF123" s="3">
        <f t="shared" ref="BF123" si="532">-($F$3*$F$2)/$B$8*S60</f>
        <v>-2181532042.6809297</v>
      </c>
      <c r="BG123" s="3">
        <f t="shared" ref="BG123" si="533">-($F$3*$F$2)/$B$8*T60</f>
        <v>-2184822410.6854868</v>
      </c>
      <c r="BH123" s="3">
        <f t="shared" ref="BH123" si="534">-($F$3*$F$2)/$B$8*U60</f>
        <v>-2188235094.9221158</v>
      </c>
      <c r="BI123" s="3">
        <f t="shared" si="215"/>
        <v>-2191786289.6020112</v>
      </c>
      <c r="BJ123" s="3">
        <f t="shared" ref="BJ123" si="535">-($F$3*$F$2)/$B$8*W60</f>
        <v>-2195488894.5389271</v>
      </c>
      <c r="BK123" s="3">
        <f t="shared" ref="BK123" si="536">-($F$3*$F$2)/$B$8*X60</f>
        <v>-2199353815.6977725</v>
      </c>
      <c r="BL123" s="3">
        <f t="shared" ref="BL123" si="537">-($F$3*$F$2)/$B$8*Y60</f>
        <v>-2203391133.3093452</v>
      </c>
      <c r="BM123" s="3">
        <f t="shared" ref="BM123" si="538">-($F$3*$F$2)/$B$8*Z60</f>
        <v>-2207611450.0722871</v>
      </c>
      <c r="BN123" s="3">
        <f t="shared" ref="BN123" si="539">-($F$3*$F$2)/$B$8*AA60</f>
        <v>-2212029798.8535919</v>
      </c>
      <c r="BO123" s="3">
        <f t="shared" ref="BO123" si="540">-($F$3*$F$2)/$B$8*AB60</f>
        <v>-2216667936.3443608</v>
      </c>
      <c r="BP123" s="3">
        <f t="shared" ref="BP123" si="541">-($F$3*$F$2)/$B$8*AC60</f>
        <v>-2221717467.7788215</v>
      </c>
      <c r="BQ123" s="3">
        <f t="shared" ref="BQ123" si="542">-($F$3*$F$2)/$B$8*AD60</f>
        <v>-2227272669.4324627</v>
      </c>
      <c r="BR123" s="7"/>
      <c r="BS123" s="3">
        <f t="shared" ref="BS123:BX123" si="543">$R$3</f>
        <v>650</v>
      </c>
      <c r="BT123" s="3">
        <f t="shared" si="543"/>
        <v>650</v>
      </c>
      <c r="BU123" s="3">
        <f t="shared" si="543"/>
        <v>650</v>
      </c>
      <c r="BV123" s="3">
        <f t="shared" si="543"/>
        <v>650</v>
      </c>
      <c r="BW123" s="3">
        <f t="shared" si="543"/>
        <v>650</v>
      </c>
      <c r="BX123" s="3">
        <f t="shared" si="543"/>
        <v>650</v>
      </c>
      <c r="BY123" s="5">
        <v>6</v>
      </c>
      <c r="BZ123" s="6">
        <f t="shared" si="274"/>
        <v>4.6296296296296294E-2</v>
      </c>
      <c r="CC123" s="94"/>
      <c r="CD123" s="95"/>
      <c r="CE123" s="5">
        <v>6</v>
      </c>
      <c r="CF123" s="6">
        <f t="shared" si="275"/>
        <v>4.6296296296296294E-2</v>
      </c>
      <c r="CG123" s="3">
        <f t="shared" ref="CG123:CL123" si="544">$R$2</f>
        <v>600</v>
      </c>
      <c r="CH123" s="3">
        <f t="shared" si="544"/>
        <v>600</v>
      </c>
      <c r="CI123" s="3">
        <f t="shared" si="544"/>
        <v>600</v>
      </c>
      <c r="CJ123" s="3">
        <f t="shared" si="544"/>
        <v>600</v>
      </c>
      <c r="CK123" s="3">
        <f t="shared" si="544"/>
        <v>600</v>
      </c>
      <c r="CL123" s="3">
        <f t="shared" si="544"/>
        <v>600</v>
      </c>
      <c r="CM123" s="3">
        <v>0</v>
      </c>
      <c r="CN123" s="3">
        <f t="shared" si="424"/>
        <v>0.34883720930232553</v>
      </c>
      <c r="CO123" s="3">
        <f t="shared" si="424"/>
        <v>0.39716748768472904</v>
      </c>
      <c r="CP123" s="3">
        <f t="shared" si="424"/>
        <v>0.40494040593779607</v>
      </c>
      <c r="CQ123" s="3">
        <f t="shared" si="424"/>
        <v>0.4062190081621499</v>
      </c>
      <c r="CR123" s="3">
        <f t="shared" si="424"/>
        <v>0.40643010492156101</v>
      </c>
      <c r="CS123" s="3">
        <f t="shared" si="424"/>
        <v>0.40646497802255066</v>
      </c>
      <c r="CT123" s="3">
        <f t="shared" si="424"/>
        <v>0.40647073962099717</v>
      </c>
      <c r="CU123" s="3">
        <f t="shared" si="424"/>
        <v>0.40647169154566137</v>
      </c>
      <c r="CV123" s="3">
        <f t="shared" si="424"/>
        <v>0.40647184882198806</v>
      </c>
      <c r="CW123" s="3">
        <f t="shared" si="424"/>
        <v>0.40647187480708435</v>
      </c>
      <c r="CX123" s="3">
        <f t="shared" si="424"/>
        <v>0.40647187910032606</v>
      </c>
      <c r="CY123" s="3">
        <f t="shared" si="424"/>
        <v>0.40647187980965277</v>
      </c>
      <c r="CZ123" s="3">
        <f t="shared" si="424"/>
        <v>0.4064718799268473</v>
      </c>
      <c r="DA123" s="3">
        <f t="shared" si="424"/>
        <v>0.40647187994621015</v>
      </c>
      <c r="DB123" s="3">
        <f t="shared" si="424"/>
        <v>0.40647187994940925</v>
      </c>
      <c r="DC123" s="3">
        <f t="shared" si="424"/>
        <v>0.40647187994993778</v>
      </c>
      <c r="DD123" s="3">
        <f t="shared" si="424"/>
        <v>0.40647187995002515</v>
      </c>
      <c r="DE123" s="3">
        <f t="shared" si="424"/>
        <v>0.40647187995003953</v>
      </c>
      <c r="DF123" s="3">
        <f t="shared" ref="DF123:DK123" si="545">$R$3</f>
        <v>650</v>
      </c>
      <c r="DG123" s="3">
        <f t="shared" si="545"/>
        <v>650</v>
      </c>
      <c r="DH123" s="3">
        <f t="shared" si="545"/>
        <v>650</v>
      </c>
      <c r="DI123" s="3">
        <f t="shared" si="545"/>
        <v>650</v>
      </c>
      <c r="DJ123" s="3">
        <f t="shared" si="545"/>
        <v>650</v>
      </c>
      <c r="DK123" s="3">
        <f t="shared" si="545"/>
        <v>650</v>
      </c>
      <c r="DL123" s="5">
        <v>6</v>
      </c>
      <c r="DM123" s="6">
        <f t="shared" si="277"/>
        <v>4.6296296296296294E-2</v>
      </c>
      <c r="DQ123" s="94"/>
      <c r="DR123" s="95"/>
      <c r="DS123" s="5">
        <v>6</v>
      </c>
      <c r="DT123" s="6">
        <f t="shared" si="278"/>
        <v>4.6296296296296294E-2</v>
      </c>
      <c r="DU123" s="3">
        <f t="shared" ref="DU123:DZ123" si="546">$R$2</f>
        <v>600</v>
      </c>
      <c r="DV123" s="3">
        <f t="shared" si="546"/>
        <v>600</v>
      </c>
      <c r="DW123" s="3">
        <f t="shared" si="546"/>
        <v>600</v>
      </c>
      <c r="DX123" s="3">
        <f t="shared" si="546"/>
        <v>600</v>
      </c>
      <c r="DY123" s="3">
        <f t="shared" si="546"/>
        <v>600</v>
      </c>
      <c r="DZ123" s="3">
        <f t="shared" si="546"/>
        <v>600</v>
      </c>
      <c r="EA123" s="3">
        <f t="shared" ref="EA123" si="547">M123</f>
        <v>603.20753409233726</v>
      </c>
      <c r="EB123" s="3">
        <f t="shared" ref="EB123" si="548">(EA123*$L$4-BA123)/($L$3-$L$4*CM123)</f>
        <v>392.84251689895416</v>
      </c>
      <c r="EC123" s="3">
        <f t="shared" ref="EC123" si="549">(EB123*$L$4-BB123)/($L$3-$L$4*CN123)</f>
        <v>364.0516623074152</v>
      </c>
      <c r="ED123" s="3">
        <f t="shared" ref="ED123" si="550">(EC123*$L$4-BC123)/($L$3-$L$4*CO123)</f>
        <v>359.87464417665609</v>
      </c>
      <c r="EE123" s="3">
        <f t="shared" ref="EE123" si="551">(ED123*$L$4-BD123)/($L$3-$L$4*CP123)</f>
        <v>359.62108734207925</v>
      </c>
      <c r="EF123" s="3">
        <f t="shared" ref="EF123" si="552">(EE123*$L$4-BE123)/($L$3-$L$4*CQ123)</f>
        <v>360.01205709308755</v>
      </c>
      <c r="EG123" s="3">
        <f t="shared" ref="EG123" si="553">(EF123*$L$4-BF123)/($L$3-$L$4*CR123)</f>
        <v>360.51499185578791</v>
      </c>
      <c r="EH123" s="3">
        <f t="shared" ref="EH123" si="554">(EG123*$L$4-BG123)/($L$3-$L$4*CS123)</f>
        <v>361.04758311641325</v>
      </c>
      <c r="EI123" s="3">
        <f t="shared" ref="EI123" si="555">(EH123*$L$4-BH123)/($L$3-$L$4*CT123)</f>
        <v>361.599974623447</v>
      </c>
      <c r="EJ123" s="3">
        <f t="shared" si="221"/>
        <v>362.17330813154723</v>
      </c>
      <c r="EK123" s="3">
        <f t="shared" si="222"/>
        <v>362.76990295294934</v>
      </c>
      <c r="EL123" s="3">
        <f t="shared" ref="EL123" si="556">(EK123*$L$4-BK123)/($L$3-$L$4*CW123)</f>
        <v>363.39186999740696</v>
      </c>
      <c r="EM123" s="3">
        <f t="shared" ref="EM123" si="557">(EL123*$L$4-BL123)/($L$3-$L$4*CX123)</f>
        <v>364.04107310253374</v>
      </c>
      <c r="EN123" s="3">
        <f t="shared" ref="EN123" si="558">(EM123*$L$4-BM123)/($L$3-$L$4*CY123)</f>
        <v>364.71931352339408</v>
      </c>
      <c r="EO123" s="3">
        <f t="shared" ref="EO123" si="559">(EN123*$L$4-BN123)/($L$3-$L$4*CZ123)</f>
        <v>365.42879981210484</v>
      </c>
      <c r="EP123" s="3">
        <f t="shared" ref="EP123" si="560">(EO123*$L$4-BO123)/($L$3-$L$4*DA123)</f>
        <v>366.17256586309662</v>
      </c>
      <c r="EQ123" s="3">
        <f t="shared" ref="EQ123" si="561">(EP123*$L$4-BP123)/($L$3-$L$4*DB123)</f>
        <v>366.97065699228972</v>
      </c>
      <c r="ER123" s="3">
        <f t="shared" ref="ER123" si="562">(EQ123*$L$4-BQ123)/($L$3-$L$4*DC123)</f>
        <v>367.84047725577602</v>
      </c>
      <c r="ES123" s="3">
        <f t="shared" ref="ES123" si="563">(ER123*$L$4-BR123)/($L$3-$L$4*DD123)</f>
        <v>149.51681031187505</v>
      </c>
      <c r="ET123" s="3">
        <f t="shared" ref="ET123:EY123" si="564">$R$3</f>
        <v>650</v>
      </c>
      <c r="EU123" s="3">
        <f t="shared" si="564"/>
        <v>650</v>
      </c>
      <c r="EV123" s="3">
        <f t="shared" si="564"/>
        <v>650</v>
      </c>
      <c r="EW123" s="3">
        <f t="shared" si="564"/>
        <v>650</v>
      </c>
      <c r="EX123" s="3">
        <f t="shared" si="564"/>
        <v>650</v>
      </c>
      <c r="EY123" s="3">
        <f t="shared" si="564"/>
        <v>650</v>
      </c>
      <c r="EZ123" s="5">
        <v>6</v>
      </c>
      <c r="FA123" s="6">
        <f t="shared" si="279"/>
        <v>4.6296296296296294E-2</v>
      </c>
    </row>
    <row r="124" spans="3:157" ht="15" customHeight="1" x14ac:dyDescent="0.3">
      <c r="C124" s="94"/>
      <c r="D124" s="95"/>
      <c r="E124" s="5">
        <v>5</v>
      </c>
      <c r="F124" s="6">
        <f t="shared" si="269"/>
        <v>3.7037037037037035E-2</v>
      </c>
      <c r="G124" s="3">
        <f>$R$2</f>
        <v>600</v>
      </c>
      <c r="H124" s="3">
        <f>$R$2</f>
        <v>600</v>
      </c>
      <c r="I124" s="3">
        <f>$R$2</f>
        <v>600</v>
      </c>
      <c r="J124" s="3">
        <f>$R$2</f>
        <v>600</v>
      </c>
      <c r="K124" s="3">
        <f t="shared" si="410"/>
        <v>602.32167627876584</v>
      </c>
      <c r="L124" s="3">
        <f t="shared" ref="L124" si="565">CL124*M124+DZ124</f>
        <v>602.62125156538661</v>
      </c>
      <c r="M124" s="3">
        <f t="shared" ref="M124" si="566">CM124*N124+EA124</f>
        <v>603.06381416176907</v>
      </c>
      <c r="N124" s="3">
        <f t="shared" ref="N124" si="567">CN124*O124+EB124</f>
        <v>603.59020146567207</v>
      </c>
      <c r="O124" s="3">
        <f t="shared" ref="O124" si="568">CO124*P124+EC124</f>
        <v>604.21302568983037</v>
      </c>
      <c r="P124" s="3">
        <f t="shared" ref="P124" si="569">CP124*Q124+ED124</f>
        <v>604.90246876638241</v>
      </c>
      <c r="Q124" s="3">
        <f t="shared" ref="Q124" si="570">CQ124*R124+EE124</f>
        <v>605.63701411412967</v>
      </c>
      <c r="R124" s="3">
        <f t="shared" ref="R124" si="571">CR124*S124+EF124</f>
        <v>606.41304480771839</v>
      </c>
      <c r="S124" s="3">
        <f t="shared" ref="S124" si="572">CS124*T124+EG124</f>
        <v>607.22982036671863</v>
      </c>
      <c r="T124" s="3">
        <f t="shared" ref="T124" si="573">CT124*U124+EH124</f>
        <v>608.08785573847285</v>
      </c>
      <c r="U124" s="3">
        <f t="shared" ref="U124" si="574">CU124*V124+EI124</f>
        <v>608.98803671888822</v>
      </c>
      <c r="V124" s="3">
        <f t="shared" si="181"/>
        <v>609.93131033328427</v>
      </c>
      <c r="W124" s="3">
        <f t="shared" si="181"/>
        <v>610.91851728336383</v>
      </c>
      <c r="X124" s="3">
        <f t="shared" si="181"/>
        <v>611.9502988358654</v>
      </c>
      <c r="Y124" s="3">
        <f t="shared" si="181"/>
        <v>613.02703628983852</v>
      </c>
      <c r="Z124" s="3">
        <f t="shared" si="181"/>
        <v>614.14879005385728</v>
      </c>
      <c r="AA124" s="3">
        <f t="shared" si="181"/>
        <v>615.31520053174404</v>
      </c>
      <c r="AB124" s="3">
        <f t="shared" si="181"/>
        <v>616.52523538328546</v>
      </c>
      <c r="AC124" s="3">
        <f t="shared" si="523"/>
        <v>617.7766868115566</v>
      </c>
      <c r="AD124" s="3">
        <f t="shared" si="524"/>
        <v>619.06073735547557</v>
      </c>
      <c r="AE124" s="3">
        <f t="shared" ref="AE124:AE128" si="575">DE124*AF124+ES124</f>
        <v>620.36540336448286</v>
      </c>
      <c r="AF124" s="3">
        <f t="shared" ref="AF124:AH128" si="576">DF124*AG124+ET124</f>
        <v>621.70536728245338</v>
      </c>
      <c r="AG124" s="3">
        <f t="shared" si="405"/>
        <v>622.96886465996943</v>
      </c>
      <c r="AH124" s="3">
        <f>$R$3</f>
        <v>650</v>
      </c>
      <c r="AI124" s="3">
        <f>$R$3</f>
        <v>650</v>
      </c>
      <c r="AJ124" s="3">
        <f>$R$3</f>
        <v>650</v>
      </c>
      <c r="AK124" s="3">
        <f>$R$3</f>
        <v>650</v>
      </c>
      <c r="AL124" s="5">
        <v>5</v>
      </c>
      <c r="AM124" s="6">
        <f t="shared" si="272"/>
        <v>3.7037037037037035E-2</v>
      </c>
      <c r="AP124" s="102"/>
      <c r="AQ124" s="101"/>
      <c r="AR124" s="5">
        <v>5</v>
      </c>
      <c r="AS124" s="6">
        <f t="shared" si="273"/>
        <v>3.7037037037037035E-2</v>
      </c>
      <c r="AT124" s="3">
        <f>$R$2</f>
        <v>600</v>
      </c>
      <c r="AU124" s="3">
        <f>$R$2</f>
        <v>600</v>
      </c>
      <c r="AV124" s="3">
        <f>$R$2</f>
        <v>600</v>
      </c>
      <c r="AW124" s="67">
        <f>$R$2</f>
        <v>600</v>
      </c>
      <c r="AX124" s="7"/>
      <c r="AY124" s="3">
        <f t="shared" ref="AY124" si="577">-($F$3*$F$2)/$B$8*L61</f>
        <v>-2161613083.1541948</v>
      </c>
      <c r="AZ124" s="3">
        <f t="shared" ref="AZ124" si="578">-($F$3*$F$2)/$B$8*M61</f>
        <v>-2163445930.9232917</v>
      </c>
      <c r="BA124" s="3">
        <f t="shared" ref="BA124" si="579">-($F$3*$F$2)/$B$8*N61</f>
        <v>-2165282394.0089746</v>
      </c>
      <c r="BB124" s="3">
        <f t="shared" ref="BB124" si="580">-($F$3*$F$2)/$B$8*O61</f>
        <v>-2167640534.1262021</v>
      </c>
      <c r="BC124" s="3">
        <f t="shared" ref="BC124" si="581">-($F$3*$F$2)/$B$8*P61</f>
        <v>-2170203334.5310326</v>
      </c>
      <c r="BD124" s="3">
        <f t="shared" ref="BD124" si="582">-($F$3*$F$2)/$B$8*Q61</f>
        <v>-2172853857.3097129</v>
      </c>
      <c r="BE124" s="3">
        <f t="shared" ref="BE124" si="583">-($F$3*$F$2)/$B$8*R61</f>
        <v>-2175641321.0272894</v>
      </c>
      <c r="BF124" s="3">
        <f t="shared" ref="BF124" si="584">-($F$3*$F$2)/$B$8*S61</f>
        <v>-2178569779.8509855</v>
      </c>
      <c r="BG124" s="3">
        <f t="shared" ref="BG124" si="585">-($F$3*$F$2)/$B$8*T61</f>
        <v>-2181644743.5697827</v>
      </c>
      <c r="BH124" s="3">
        <f t="shared" ref="BH124" si="586">-($F$3*$F$2)/$B$8*U61</f>
        <v>-2184870672.242692</v>
      </c>
      <c r="BI124" s="3">
        <f t="shared" ref="BI124" si="587">-($F$3*$F$2)/$B$8*V61</f>
        <v>-2188251657.4660945</v>
      </c>
      <c r="BJ124" s="3">
        <f t="shared" ref="BJ124" si="588">-($F$3*$F$2)/$B$8*W61</f>
        <v>-2191791101.1586823</v>
      </c>
      <c r="BK124" s="3">
        <f t="shared" ref="BK124" si="589">-($F$3*$F$2)/$B$8*X61</f>
        <v>-2195491554.7909932</v>
      </c>
      <c r="BL124" s="3">
        <f t="shared" ref="BL124" si="590">-($F$3*$F$2)/$B$8*Y61</f>
        <v>-2199354638.6843514</v>
      </c>
      <c r="BM124" s="3">
        <f t="shared" ref="BM124" si="591">-($F$3*$F$2)/$B$8*Z61</f>
        <v>-2203380979.9178267</v>
      </c>
      <c r="BN124" s="3">
        <f t="shared" ref="BN124" si="592">-($F$3*$F$2)/$B$8*AA61</f>
        <v>-2207570334.6009679</v>
      </c>
      <c r="BO124" s="3">
        <f t="shared" ref="BO124" si="593">-($F$3*$F$2)/$B$8*AB61</f>
        <v>-2211921079.927567</v>
      </c>
      <c r="BP124" s="3">
        <f t="shared" ref="BP124" si="594">-($F$3*$F$2)/$B$8*AC61</f>
        <v>-2216447791.941083</v>
      </c>
      <c r="BQ124" s="3">
        <f t="shared" ref="BQ124" si="595">-($F$3*$F$2)/$B$8*AD61</f>
        <v>-2221104577.6059799</v>
      </c>
      <c r="BR124" s="3">
        <f t="shared" ref="BR124" si="596">-($F$3*$F$2)/$B$8*AE61</f>
        <v>-2225724933.9286561</v>
      </c>
      <c r="BS124" s="3">
        <f t="shared" ref="BS124" si="597">-($F$3*$F$2)/$B$8*AF61</f>
        <v>-2230995429.2869258</v>
      </c>
      <c r="BT124" s="7"/>
      <c r="BU124" s="67">
        <f>$R$3</f>
        <v>650</v>
      </c>
      <c r="BV124" s="3">
        <f>$R$3</f>
        <v>650</v>
      </c>
      <c r="BW124" s="3">
        <f>$R$3</f>
        <v>650</v>
      </c>
      <c r="BX124" s="3">
        <f>$R$3</f>
        <v>650</v>
      </c>
      <c r="BY124" s="5">
        <v>5</v>
      </c>
      <c r="BZ124" s="6">
        <f t="shared" si="274"/>
        <v>3.7037037037037035E-2</v>
      </c>
      <c r="CC124" s="94"/>
      <c r="CD124" s="95"/>
      <c r="CE124" s="5">
        <v>5</v>
      </c>
      <c r="CF124" s="6">
        <f t="shared" si="275"/>
        <v>3.7037037037037035E-2</v>
      </c>
      <c r="CG124" s="3">
        <f>$R$2</f>
        <v>600</v>
      </c>
      <c r="CH124" s="3">
        <f>$R$2</f>
        <v>600</v>
      </c>
      <c r="CI124" s="3">
        <f>$R$2</f>
        <v>600</v>
      </c>
      <c r="CJ124" s="3">
        <f>$R$2</f>
        <v>600</v>
      </c>
      <c r="CK124" s="3">
        <v>0</v>
      </c>
      <c r="CL124" s="3">
        <f t="shared" si="424"/>
        <v>0.34883720930232553</v>
      </c>
      <c r="CM124" s="3">
        <f t="shared" si="424"/>
        <v>0.39716748768472904</v>
      </c>
      <c r="CN124" s="3">
        <f t="shared" si="424"/>
        <v>0.40494040593779607</v>
      </c>
      <c r="CO124" s="3">
        <f t="shared" si="424"/>
        <v>0.4062190081621499</v>
      </c>
      <c r="CP124" s="3">
        <f t="shared" si="424"/>
        <v>0.40643010492156101</v>
      </c>
      <c r="CQ124" s="3">
        <f t="shared" si="424"/>
        <v>0.40646497802255066</v>
      </c>
      <c r="CR124" s="3">
        <f t="shared" si="424"/>
        <v>0.40647073962099717</v>
      </c>
      <c r="CS124" s="3">
        <f t="shared" si="424"/>
        <v>0.40647169154566137</v>
      </c>
      <c r="CT124" s="3">
        <f t="shared" si="424"/>
        <v>0.40647184882198806</v>
      </c>
      <c r="CU124" s="3">
        <f t="shared" si="424"/>
        <v>0.40647187480708435</v>
      </c>
      <c r="CV124" s="3">
        <f t="shared" si="424"/>
        <v>0.40647187910032606</v>
      </c>
      <c r="CW124" s="3">
        <f t="shared" si="424"/>
        <v>0.40647187980965277</v>
      </c>
      <c r="CX124" s="3">
        <f t="shared" si="424"/>
        <v>0.4064718799268473</v>
      </c>
      <c r="CY124" s="3">
        <f t="shared" si="424"/>
        <v>0.40647187994621015</v>
      </c>
      <c r="CZ124" s="3">
        <f t="shared" si="424"/>
        <v>0.40647187994940925</v>
      </c>
      <c r="DA124" s="3">
        <f t="shared" si="424"/>
        <v>0.40647187994993778</v>
      </c>
      <c r="DB124" s="3">
        <f t="shared" si="424"/>
        <v>0.40647187995002515</v>
      </c>
      <c r="DC124" s="3">
        <f t="shared" si="424"/>
        <v>0.40647187995003953</v>
      </c>
      <c r="DD124" s="3">
        <f t="shared" si="424"/>
        <v>0.40647187995004191</v>
      </c>
      <c r="DE124" s="3">
        <f t="shared" si="424"/>
        <v>0.40647187995004236</v>
      </c>
      <c r="DF124" s="3">
        <f t="shared" si="424"/>
        <v>0.40647187995004236</v>
      </c>
      <c r="DG124" s="3">
        <f t="shared" si="424"/>
        <v>0.40647187995004236</v>
      </c>
      <c r="DH124" s="3">
        <f>$R$3</f>
        <v>650</v>
      </c>
      <c r="DI124" s="3">
        <f>$R$3</f>
        <v>650</v>
      </c>
      <c r="DJ124" s="3">
        <f>$R$3</f>
        <v>650</v>
      </c>
      <c r="DK124" s="3">
        <f>$R$3</f>
        <v>650</v>
      </c>
      <c r="DL124" s="5">
        <v>5</v>
      </c>
      <c r="DM124" s="6">
        <f t="shared" si="277"/>
        <v>3.7037037037037035E-2</v>
      </c>
      <c r="DQ124" s="94"/>
      <c r="DR124" s="95"/>
      <c r="DS124" s="5">
        <v>5</v>
      </c>
      <c r="DT124" s="6">
        <f t="shared" si="278"/>
        <v>3.7037037037037035E-2</v>
      </c>
      <c r="DU124" s="3">
        <f>$R$2</f>
        <v>600</v>
      </c>
      <c r="DV124" s="3">
        <f>$R$2</f>
        <v>600</v>
      </c>
      <c r="DW124" s="3">
        <f>$R$2</f>
        <v>600</v>
      </c>
      <c r="DX124" s="3">
        <f>$R$2</f>
        <v>600</v>
      </c>
      <c r="DY124" s="3">
        <f t="shared" ref="DW124:DY128" si="598">K124</f>
        <v>602.32167627876584</v>
      </c>
      <c r="DZ124" s="3">
        <f t="shared" ref="DZ124" si="599">(DY124*$L$4-AY124)/($L$3-$L$4*CK124)</f>
        <v>392.25015360197887</v>
      </c>
      <c r="EA124" s="3">
        <f t="shared" ref="EA124" si="600">(DZ124*$L$4-AZ124)/($L$3-$L$4*CL124)</f>
        <v>363.33741025452861</v>
      </c>
      <c r="EB124" s="3">
        <f t="shared" ref="EB124" si="601">(EA124*$L$4-BA124)/($L$3-$L$4*CM124)</f>
        <v>358.91993356992816</v>
      </c>
      <c r="EC124" s="3">
        <f t="shared" ref="EC124" si="602">(EB124*$L$4-BB124)/($L$3-$L$4*CN124)</f>
        <v>358.49014479271466</v>
      </c>
      <c r="ED124" s="3">
        <f t="shared" ref="ED124" si="603">(EC124*$L$4-BC124)/($L$3-$L$4*CO124)</f>
        <v>358.75335357559578</v>
      </c>
      <c r="EE124" s="3">
        <f t="shared" ref="EE124" si="604">(ED124*$L$4-BD124)/($L$3-$L$4*CP124)</f>
        <v>359.15134918377237</v>
      </c>
      <c r="EF124" s="3">
        <f t="shared" ref="EF124" si="605">(EE124*$L$4-BE124)/($L$3-$L$4*CQ124)</f>
        <v>359.59189060333301</v>
      </c>
      <c r="EG124" s="3">
        <f t="shared" ref="EG124" si="606">(EF124*$L$4-BF124)/($L$3-$L$4*CR124)</f>
        <v>360.05932103632745</v>
      </c>
      <c r="EH124" s="3">
        <f t="shared" ref="EH124" si="607">(EG124*$L$4-BG124)/($L$3-$L$4*CS124)</f>
        <v>360.55136254287356</v>
      </c>
      <c r="EI124" s="3">
        <f t="shared" ref="EI124" si="608">(EH124*$L$4-BH124)/($L$3-$L$4*CT124)</f>
        <v>361.06811350417661</v>
      </c>
      <c r="EJ124" s="3">
        <f t="shared" ref="EJ124" si="609">(EI124*$L$4-BI124)/($L$3-$L$4*CU124)</f>
        <v>361.61011263593042</v>
      </c>
      <c r="EK124" s="3">
        <f t="shared" ref="EK124" si="610">(EJ124*$L$4-BJ124)/($L$3-$L$4*CV124)</f>
        <v>362.17792896547081</v>
      </c>
      <c r="EL124" s="3">
        <f t="shared" ref="EL124" si="611">(EK124*$L$4-BK124)/($L$3-$L$4*CW124)</f>
        <v>362.7720469491511</v>
      </c>
      <c r="EM124" s="3">
        <f t="shared" ref="EM124" si="612">(EL124*$L$4-BL124)/($L$3-$L$4*CX124)</f>
        <v>363.39282302995679</v>
      </c>
      <c r="EN124" s="3">
        <f t="shared" ref="EN124" si="613">(EM124*$L$4-BM124)/($L$3-$L$4*CY124)</f>
        <v>364.04046373227158</v>
      </c>
      <c r="EO124" s="3">
        <f t="shared" ref="EO124" si="614">(EN124*$L$4-BN124)/($L$3-$L$4*CZ124)</f>
        <v>364.71502906892215</v>
      </c>
      <c r="EP124" s="3">
        <f t="shared" ref="EP124" si="615">(EO124*$L$4-BO124)/($L$3-$L$4*DA124)</f>
        <v>365.41638410569414</v>
      </c>
      <c r="EQ124" s="3">
        <f t="shared" ref="EQ124" si="616">(EP124*$L$4-BP124)/($L$3-$L$4*DB124)</f>
        <v>366.14590509541875</v>
      </c>
      <c r="ER124" s="3">
        <f t="shared" ref="ER124" si="617">(EQ124*$L$4-BQ124)/($L$3-$L$4*DC124)</f>
        <v>366.89964559394809</v>
      </c>
      <c r="ES124" s="3">
        <f t="shared" ref="ES124" si="618">(ER124*$L$4-BR124)/($L$3-$L$4*DD124)</f>
        <v>367.65965395015246</v>
      </c>
      <c r="ET124" s="3">
        <f t="shared" ref="ET124" si="619">(ES124*$L$4-BS124)/($L$3-$L$4*DE124)</f>
        <v>368.48604171377212</v>
      </c>
      <c r="EU124" s="3">
        <f t="shared" ref="EU124" si="620">(ET124*$L$4-BT124)/($L$3-$L$4*DF124)</f>
        <v>149.77921411074669</v>
      </c>
      <c r="EV124" s="3">
        <f>$R$3</f>
        <v>650</v>
      </c>
      <c r="EW124" s="3">
        <f>$R$3</f>
        <v>650</v>
      </c>
      <c r="EX124" s="3">
        <f>$R$3</f>
        <v>650</v>
      </c>
      <c r="EY124" s="3">
        <f>$R$3</f>
        <v>650</v>
      </c>
      <c r="EZ124" s="5">
        <v>5</v>
      </c>
      <c r="FA124" s="6">
        <f t="shared" si="279"/>
        <v>3.7037037037037035E-2</v>
      </c>
    </row>
    <row r="125" spans="3:157" ht="15" customHeight="1" x14ac:dyDescent="0.3">
      <c r="C125" s="94"/>
      <c r="D125" s="95"/>
      <c r="E125" s="5">
        <v>4</v>
      </c>
      <c r="F125" s="6">
        <f t="shared" si="269"/>
        <v>2.7777777777777776E-2</v>
      </c>
      <c r="G125" s="3">
        <f t="shared" ref="G125:I126" si="621">$R$2</f>
        <v>600</v>
      </c>
      <c r="H125" s="3">
        <f t="shared" si="621"/>
        <v>600</v>
      </c>
      <c r="I125" s="3">
        <f t="shared" si="621"/>
        <v>600</v>
      </c>
      <c r="J125" s="3">
        <f t="shared" si="410"/>
        <v>602.09563158835408</v>
      </c>
      <c r="K125" s="3">
        <f t="shared" ref="K125:K126" si="622">CK125*L125+DY125</f>
        <v>602.30783436771856</v>
      </c>
      <c r="L125" s="3">
        <f t="shared" ref="L125:L126" si="623">CL125*M125+DZ125</f>
        <v>602.59865845190984</v>
      </c>
      <c r="M125" s="3">
        <f t="shared" ref="M125:M126" si="624">CM125*N125+EA125</f>
        <v>602.97471839160403</v>
      </c>
      <c r="N125" s="3">
        <f t="shared" ref="N125:N126" si="625">CN125*O125+EB125</f>
        <v>603.42197114555142</v>
      </c>
      <c r="O125" s="3">
        <f t="shared" ref="O125:O126" si="626">CO125*P125+EC125</f>
        <v>603.94031396911578</v>
      </c>
      <c r="P125" s="3">
        <f t="shared" ref="P125:P126" si="627">CP125*Q125+ED125</f>
        <v>604.52255909332985</v>
      </c>
      <c r="Q125" s="3">
        <f t="shared" ref="Q125:Q126" si="628">CQ125*R125+EE125</f>
        <v>605.16219281657845</v>
      </c>
      <c r="R125" s="3">
        <f t="shared" ref="R125:R126" si="629">CR125*S125+EF125</f>
        <v>605.85567345440597</v>
      </c>
      <c r="S125" s="3">
        <f t="shared" ref="S125:S126" si="630">CS125*T125+EG125</f>
        <v>606.60056631979091</v>
      </c>
      <c r="T125" s="3">
        <f t="shared" ref="T125:T126" si="631">CT125*U125+EH125</f>
        <v>607.39514492343903</v>
      </c>
      <c r="U125" s="3">
        <f t="shared" ref="U125:U126" si="632">CU125*V125+EI125</f>
        <v>608.23807363759829</v>
      </c>
      <c r="V125" s="3">
        <f t="shared" si="181"/>
        <v>609.12818872599382</v>
      </c>
      <c r="W125" s="3">
        <f t="shared" si="181"/>
        <v>610.06432363908903</v>
      </c>
      <c r="X125" s="3">
        <f t="shared" si="181"/>
        <v>611.04516116735272</v>
      </c>
      <c r="Y125" s="3">
        <f t="shared" si="181"/>
        <v>612.06909539616754</v>
      </c>
      <c r="Z125" s="3">
        <f t="shared" si="181"/>
        <v>613.13408565209079</v>
      </c>
      <c r="AA125" s="3">
        <f t="shared" si="181"/>
        <v>614.23748211586701</v>
      </c>
      <c r="AB125" s="3">
        <f t="shared" si="181"/>
        <v>615.37579153281808</v>
      </c>
      <c r="AC125" s="3">
        <f t="shared" si="523"/>
        <v>616.54435668361907</v>
      </c>
      <c r="AD125" s="3">
        <f t="shared" si="524"/>
        <v>617.73639507699988</v>
      </c>
      <c r="AE125" s="3">
        <f t="shared" si="575"/>
        <v>618.94336284402891</v>
      </c>
      <c r="AF125" s="3">
        <f t="shared" si="576"/>
        <v>620.15844416147866</v>
      </c>
      <c r="AG125" s="3">
        <f t="shared" si="576"/>
        <v>621.36343633889146</v>
      </c>
      <c r="AH125" s="3">
        <f t="shared" si="405"/>
        <v>622.56282390175579</v>
      </c>
      <c r="AI125" s="3">
        <f t="shared" ref="AI125:AK126" si="633">$R$3</f>
        <v>650</v>
      </c>
      <c r="AJ125" s="3">
        <f t="shared" si="633"/>
        <v>650</v>
      </c>
      <c r="AK125" s="3">
        <f t="shared" si="633"/>
        <v>650</v>
      </c>
      <c r="AL125" s="5">
        <v>4</v>
      </c>
      <c r="AM125" s="6">
        <f t="shared" si="272"/>
        <v>2.7777777777777776E-2</v>
      </c>
      <c r="AP125" s="102"/>
      <c r="AQ125" s="101"/>
      <c r="AR125" s="5">
        <v>4</v>
      </c>
      <c r="AS125" s="6">
        <f t="shared" si="273"/>
        <v>2.7777777777777776E-2</v>
      </c>
      <c r="AT125" s="3">
        <f t="shared" ref="AT125:AV126" si="634">$R$2</f>
        <v>600</v>
      </c>
      <c r="AU125" s="3">
        <f t="shared" si="634"/>
        <v>600</v>
      </c>
      <c r="AV125" s="66">
        <f t="shared" si="634"/>
        <v>600</v>
      </c>
      <c r="AW125" s="69"/>
      <c r="AX125" s="23">
        <f t="shared" ref="AX125:AX126" si="635">-($F$3*$F$2)/$B$8*K62</f>
        <v>-2160755017.5093918</v>
      </c>
      <c r="AY125" s="3">
        <f t="shared" ref="AY125" si="636">-($F$3*$F$2)/$B$8*L62</f>
        <v>-2161771110.0836701</v>
      </c>
      <c r="AZ125" s="3">
        <f t="shared" ref="AZ125" si="637">-($F$3*$F$2)/$B$8*M62</f>
        <v>-2163178551.3380671</v>
      </c>
      <c r="BA125" s="3">
        <f t="shared" ref="BA125" si="638">-($F$3*$F$2)/$B$8*N62</f>
        <v>-2164783719.5820246</v>
      </c>
      <c r="BB125" s="3">
        <f t="shared" ref="BB125" si="639">-($F$3*$F$2)/$B$8*O62</f>
        <v>-2166673290.9964986</v>
      </c>
      <c r="BC125" s="3">
        <f t="shared" ref="BC125" si="640">-($F$3*$F$2)/$B$8*P62</f>
        <v>-2168789353.2268639</v>
      </c>
      <c r="BD125" s="3">
        <f t="shared" ref="BD125" si="641">-($F$3*$F$2)/$B$8*Q62</f>
        <v>-2171099021.5995255</v>
      </c>
      <c r="BE125" s="3">
        <f t="shared" ref="BE125" si="642">-($F$3*$F$2)/$B$8*R62</f>
        <v>-2173597309.7323213</v>
      </c>
      <c r="BF125" s="3">
        <f t="shared" ref="BF125" si="643">-($F$3*$F$2)/$B$8*S62</f>
        <v>-2176277132.9990001</v>
      </c>
      <c r="BG125" s="3">
        <f t="shared" ref="BG125" si="644">-($F$3*$F$2)/$B$8*T62</f>
        <v>-2179133610.5277839</v>
      </c>
      <c r="BH125" s="3">
        <f t="shared" ref="BH125" si="645">-($F$3*$F$2)/$B$8*U62</f>
        <v>-2182162856.622365</v>
      </c>
      <c r="BI125" s="3">
        <f t="shared" si="215"/>
        <v>-2185361419.0746093</v>
      </c>
      <c r="BJ125" s="3">
        <f t="shared" ref="BJ125" si="646">-($F$3*$F$2)/$B$8*W62</f>
        <v>-2188725724.3902545</v>
      </c>
      <c r="BK125" s="3">
        <f t="shared" ref="BK125" si="647">-($F$3*$F$2)/$B$8*X62</f>
        <v>-2192251617.9281797</v>
      </c>
      <c r="BL125" s="3">
        <f t="shared" ref="BL125" si="648">-($F$3*$F$2)/$B$8*Y62</f>
        <v>-2195933942.3292208</v>
      </c>
      <c r="BM125" s="3">
        <f t="shared" ref="BM125" si="649">-($F$3*$F$2)/$B$8*Z62</f>
        <v>-2199766097.6191912</v>
      </c>
      <c r="BN125" s="3">
        <f t="shared" ref="BN125" si="650">-($F$3*$F$2)/$B$8*AA62</f>
        <v>-2203739546.2055869</v>
      </c>
      <c r="BO125" s="3">
        <f t="shared" ref="BO125" si="651">-($F$3*$F$2)/$B$8*AB62</f>
        <v>-2207843081.2816129</v>
      </c>
      <c r="BP125" s="3">
        <f t="shared" ref="BP125" si="652">-($F$3*$F$2)/$B$8*AC62</f>
        <v>-2212063972.5565443</v>
      </c>
      <c r="BQ125" s="3">
        <f t="shared" ref="BQ125" si="653">-($F$3*$F$2)/$B$8*AD62</f>
        <v>-2216376377.9293714</v>
      </c>
      <c r="BR125" s="3">
        <f t="shared" ref="BR125" si="654">-($F$3*$F$2)/$B$8*AE62</f>
        <v>-2220735195.7856355</v>
      </c>
      <c r="BS125" s="3">
        <f t="shared" ref="BS125:BS126" si="655">-($F$3*$F$2)/$B$8*AF62</f>
        <v>-2225170266.6911387</v>
      </c>
      <c r="BT125" s="66">
        <f t="shared" ref="BT125:BT126" si="656">-($F$3*$F$2)/$B$8*AG62</f>
        <v>-2229475212.6881738</v>
      </c>
      <c r="BU125" s="69"/>
      <c r="BV125" s="23">
        <f t="shared" ref="BV125:BX126" si="657">$R$3</f>
        <v>650</v>
      </c>
      <c r="BW125" s="3">
        <f t="shared" si="657"/>
        <v>650</v>
      </c>
      <c r="BX125" s="3">
        <f t="shared" si="657"/>
        <v>650</v>
      </c>
      <c r="BY125" s="5">
        <v>4</v>
      </c>
      <c r="BZ125" s="6">
        <f t="shared" si="274"/>
        <v>2.7777777777777776E-2</v>
      </c>
      <c r="CC125" s="94"/>
      <c r="CD125" s="95"/>
      <c r="CE125" s="5">
        <v>4</v>
      </c>
      <c r="CF125" s="6">
        <f t="shared" si="275"/>
        <v>2.7777777777777776E-2</v>
      </c>
      <c r="CG125" s="3">
        <f t="shared" ref="CG125:CI126" si="658">$R$2</f>
        <v>600</v>
      </c>
      <c r="CH125" s="3">
        <f t="shared" si="658"/>
        <v>600</v>
      </c>
      <c r="CI125" s="3">
        <f t="shared" si="658"/>
        <v>600</v>
      </c>
      <c r="CJ125" s="3">
        <v>0</v>
      </c>
      <c r="CK125" s="3">
        <f t="shared" si="424"/>
        <v>0.34883720930232553</v>
      </c>
      <c r="CL125" s="3">
        <f t="shared" si="424"/>
        <v>0.39716748768472904</v>
      </c>
      <c r="CM125" s="3">
        <f t="shared" si="424"/>
        <v>0.40494040593779607</v>
      </c>
      <c r="CN125" s="3">
        <f t="shared" si="424"/>
        <v>0.4062190081621499</v>
      </c>
      <c r="CO125" s="3">
        <f t="shared" si="424"/>
        <v>0.40643010492156101</v>
      </c>
      <c r="CP125" s="3">
        <f t="shared" si="424"/>
        <v>0.40646497802255066</v>
      </c>
      <c r="CQ125" s="3">
        <f t="shared" si="424"/>
        <v>0.40647073962099717</v>
      </c>
      <c r="CR125" s="3">
        <f t="shared" si="424"/>
        <v>0.40647169154566137</v>
      </c>
      <c r="CS125" s="3">
        <f t="shared" si="424"/>
        <v>0.40647184882198806</v>
      </c>
      <c r="CT125" s="3">
        <f t="shared" si="424"/>
        <v>0.40647187480708435</v>
      </c>
      <c r="CU125" s="3">
        <f t="shared" si="424"/>
        <v>0.40647187910032606</v>
      </c>
      <c r="CV125" s="3">
        <f t="shared" si="424"/>
        <v>0.40647187980965277</v>
      </c>
      <c r="CW125" s="3">
        <f t="shared" si="424"/>
        <v>0.4064718799268473</v>
      </c>
      <c r="CX125" s="3">
        <f t="shared" si="424"/>
        <v>0.40647187994621015</v>
      </c>
      <c r="CY125" s="3">
        <f t="shared" si="424"/>
        <v>0.40647187994940925</v>
      </c>
      <c r="CZ125" s="3">
        <f t="shared" si="424"/>
        <v>0.40647187994993778</v>
      </c>
      <c r="DA125" s="3">
        <f t="shared" si="424"/>
        <v>0.40647187995002515</v>
      </c>
      <c r="DB125" s="3">
        <f t="shared" si="424"/>
        <v>0.40647187995003953</v>
      </c>
      <c r="DC125" s="3">
        <f t="shared" si="424"/>
        <v>0.40647187995004191</v>
      </c>
      <c r="DD125" s="3">
        <f t="shared" si="424"/>
        <v>0.40647187995004236</v>
      </c>
      <c r="DE125" s="3">
        <f t="shared" si="424"/>
        <v>0.40647187995004236</v>
      </c>
      <c r="DF125" s="3">
        <f t="shared" si="424"/>
        <v>0.40647187995004236</v>
      </c>
      <c r="DG125" s="3">
        <f t="shared" si="424"/>
        <v>0.40647187995004236</v>
      </c>
      <c r="DH125" s="3">
        <f t="shared" si="424"/>
        <v>0.40647187995004236</v>
      </c>
      <c r="DI125" s="3">
        <f t="shared" ref="DI125:DK126" si="659">$R$3</f>
        <v>650</v>
      </c>
      <c r="DJ125" s="3">
        <f t="shared" si="659"/>
        <v>650</v>
      </c>
      <c r="DK125" s="3">
        <f t="shared" si="659"/>
        <v>650</v>
      </c>
      <c r="DL125" s="5">
        <v>4</v>
      </c>
      <c r="DM125" s="6">
        <f t="shared" si="277"/>
        <v>2.7777777777777776E-2</v>
      </c>
      <c r="DQ125" s="94"/>
      <c r="DR125" s="95"/>
      <c r="DS125" s="5">
        <v>4</v>
      </c>
      <c r="DT125" s="6">
        <f t="shared" si="278"/>
        <v>2.7777777777777776E-2</v>
      </c>
      <c r="DU125" s="3">
        <f t="shared" ref="DU125:DW126" si="660">$R$2</f>
        <v>600</v>
      </c>
      <c r="DV125" s="3">
        <f t="shared" si="660"/>
        <v>600</v>
      </c>
      <c r="DW125" s="3">
        <f t="shared" si="660"/>
        <v>600</v>
      </c>
      <c r="DX125" s="3">
        <f t="shared" si="598"/>
        <v>602.09563158835408</v>
      </c>
      <c r="DY125" s="3">
        <f t="shared" ref="DY125:DY126" si="661">(DX125*$L$4-AX125)/($L$3-$L$4*CJ125)</f>
        <v>392.09900002402912</v>
      </c>
      <c r="DZ125" s="3">
        <f t="shared" ref="DZ125:DZ126" si="662">(DY125*$L$4-AY125)/($L$3-$L$4*CK125)</f>
        <v>363.11670441090945</v>
      </c>
      <c r="EA125" s="3">
        <f t="shared" ref="EA125:EA126" si="663">(DZ125*$L$4-AZ125)/($L$3-$L$4*CL125)</f>
        <v>358.62478044413939</v>
      </c>
      <c r="EB125" s="3">
        <f t="shared" ref="EB125:EB126" si="664">(EA125*$L$4-BA125)/($L$3-$L$4*CM125)</f>
        <v>358.08993581587981</v>
      </c>
      <c r="EC125" s="3">
        <f t="shared" ref="EC125:EC126" si="665">(EB125*$L$4-BB125)/($L$3-$L$4*CN125)</f>
        <v>358.24414684936323</v>
      </c>
      <c r="ED125" s="3">
        <f t="shared" ref="ED125:ED126" si="666">(EC125*$L$4-BC125)/($L$3-$L$4*CO125)</f>
        <v>358.54532169006075</v>
      </c>
      <c r="EE125" s="3">
        <f t="shared" ref="EE125:EE126" si="667">(ED125*$L$4-BD125)/($L$3-$L$4*CP125)</f>
        <v>358.89958912398868</v>
      </c>
      <c r="EF125" s="3">
        <f t="shared" ref="EF125:EF126" si="668">(EE125*$L$4-BE125)/($L$3-$L$4*CQ125)</f>
        <v>359.28971516984438</v>
      </c>
      <c r="EG125" s="3">
        <f t="shared" ref="EG125:EG126" si="669">(EF125*$L$4-BF125)/($L$3-$L$4*CR125)</f>
        <v>359.71153879726126</v>
      </c>
      <c r="EH125" s="3">
        <f t="shared" ref="EH125:EH126" si="670">(EG125*$L$4-BG125)/($L$3-$L$4*CS125)</f>
        <v>360.16347480291506</v>
      </c>
      <c r="EI125" s="3">
        <f t="shared" ref="EI125:EI126" si="671">(EH125*$L$4-BH125)/($L$3-$L$4*CT125)</f>
        <v>360.6445941531656</v>
      </c>
      <c r="EJ125" s="3">
        <f t="shared" si="221"/>
        <v>361.15419629160891</v>
      </c>
      <c r="EK125" s="3">
        <f t="shared" si="222"/>
        <v>361.69164825919182</v>
      </c>
      <c r="EL125" s="3">
        <f t="shared" ref="EL125:EL126" si="672">(EK125*$L$4-BK125)/($L$3-$L$4*CW125)</f>
        <v>362.25628530469623</v>
      </c>
      <c r="EM125" s="3">
        <f t="shared" ref="EM125:EM126" si="673">(EL125*$L$4-BL125)/($L$3-$L$4*CX125)</f>
        <v>362.84733094010011</v>
      </c>
      <c r="EN125" s="3">
        <f t="shared" ref="EN125:EN126" si="674">(EM125*$L$4-BM125)/($L$3-$L$4*CY125)</f>
        <v>363.4638215607381</v>
      </c>
      <c r="EO125" s="3">
        <f t="shared" ref="EO125:EO126" si="675">(EN125*$L$4-BN125)/($L$3-$L$4*CZ125)</f>
        <v>364.10452725578767</v>
      </c>
      <c r="EP125" s="3">
        <f t="shared" ref="EP125:EP126" si="676">(EO125*$L$4-BO125)/($L$3-$L$4*DA125)</f>
        <v>364.76784779903971</v>
      </c>
      <c r="EQ125" s="3">
        <f t="shared" ref="EQ125:EQ126" si="677">(EP125*$L$4-BP125)/($L$3-$L$4*DB125)</f>
        <v>365.45188286310906</v>
      </c>
      <c r="ER125" s="3">
        <f t="shared" ref="ER125:ER126" si="678">(EQ125*$L$4-BQ125)/($L$3-$L$4*DC125)</f>
        <v>366.15332279918624</v>
      </c>
      <c r="ES125" s="3">
        <f t="shared" ref="ES125:ES126" si="679">(ER125*$L$4-BR125)/($L$3-$L$4*DD125)</f>
        <v>366.86639417881935</v>
      </c>
      <c r="ET125" s="3">
        <f t="shared" ref="ET125:ET126" si="680">(ES125*$L$4-BS125)/($L$3-$L$4*DE125)</f>
        <v>367.59168006059099</v>
      </c>
      <c r="EU125" s="3">
        <f t="shared" ref="EU125:EU126" si="681">(ET125*$L$4-BT125)/($L$3-$L$4*DF125)</f>
        <v>368.30915492053759</v>
      </c>
      <c r="EV125" s="3">
        <f t="shared" ref="EV125:EV126" si="682">(EU125*$L$4-BU125)/($L$3-$L$4*DG125)</f>
        <v>149.70731460336231</v>
      </c>
      <c r="EW125" s="3">
        <f t="shared" ref="EW125:EY126" si="683">$R$3</f>
        <v>650</v>
      </c>
      <c r="EX125" s="3">
        <f t="shared" si="683"/>
        <v>650</v>
      </c>
      <c r="EY125" s="3">
        <f t="shared" si="683"/>
        <v>650</v>
      </c>
      <c r="EZ125" s="5">
        <v>4</v>
      </c>
      <c r="FA125" s="6">
        <f t="shared" si="279"/>
        <v>2.7777777777777776E-2</v>
      </c>
    </row>
    <row r="126" spans="3:157" ht="15" customHeight="1" x14ac:dyDescent="0.3">
      <c r="C126" s="94"/>
      <c r="D126" s="95"/>
      <c r="E126" s="5">
        <v>3</v>
      </c>
      <c r="F126" s="6">
        <f t="shared" si="269"/>
        <v>1.8518518518518517E-2</v>
      </c>
      <c r="G126" s="3">
        <f t="shared" si="621"/>
        <v>600</v>
      </c>
      <c r="H126" s="3">
        <f t="shared" si="621"/>
        <v>600</v>
      </c>
      <c r="I126" s="3">
        <f t="shared" si="621"/>
        <v>600</v>
      </c>
      <c r="J126" s="3">
        <f t="shared" ref="J126" si="684">($F$5*$B$5*I63+$F$4*K63)/($F$4+$F$5*$B$5)</f>
        <v>602.0817970158231</v>
      </c>
      <c r="K126" s="3">
        <f t="shared" si="622"/>
        <v>602.28095589231771</v>
      </c>
      <c r="L126" s="3">
        <f t="shared" si="623"/>
        <v>602.54812642812919</v>
      </c>
      <c r="M126" s="3">
        <f t="shared" si="624"/>
        <v>602.88385954786554</v>
      </c>
      <c r="N126" s="3">
        <f t="shared" si="625"/>
        <v>603.28534701001331</v>
      </c>
      <c r="O126" s="3">
        <f t="shared" si="626"/>
        <v>603.75124869104161</v>
      </c>
      <c r="P126" s="3">
        <f t="shared" si="627"/>
        <v>604.27894945103094</v>
      </c>
      <c r="Q126" s="3">
        <f t="shared" si="628"/>
        <v>604.86573946666169</v>
      </c>
      <c r="R126" s="3">
        <f t="shared" si="629"/>
        <v>605.50931783137833</v>
      </c>
      <c r="S126" s="3">
        <f t="shared" si="630"/>
        <v>606.20761050278077</v>
      </c>
      <c r="T126" s="3">
        <f t="shared" si="631"/>
        <v>606.9587078483496</v>
      </c>
      <c r="U126" s="3">
        <f t="shared" si="632"/>
        <v>607.76078394989213</v>
      </c>
      <c r="V126" s="3">
        <f t="shared" si="181"/>
        <v>608.61201516214248</v>
      </c>
      <c r="W126" s="3">
        <f t="shared" si="181"/>
        <v>609.51049906899277</v>
      </c>
      <c r="X126" s="3">
        <f t="shared" si="181"/>
        <v>610.45417617116891</v>
      </c>
      <c r="Y126" s="3">
        <f t="shared" si="181"/>
        <v>611.44075517677993</v>
      </c>
      <c r="Z126" s="3">
        <f t="shared" si="181"/>
        <v>612.46764258302619</v>
      </c>
      <c r="AA126" s="3">
        <f t="shared" si="181"/>
        <v>613.53187836469579</v>
      </c>
      <c r="AB126" s="3">
        <f t="shared" si="181"/>
        <v>614.63008168703414</v>
      </c>
      <c r="AC126" s="3">
        <f t="shared" si="523"/>
        <v>615.75841807735378</v>
      </c>
      <c r="AD126" s="3">
        <f t="shared" si="524"/>
        <v>616.91254898937063</v>
      </c>
      <c r="AE126" s="3">
        <f t="shared" si="575"/>
        <v>618.08787893492001</v>
      </c>
      <c r="AF126" s="3">
        <f t="shared" si="576"/>
        <v>619.28031380974608</v>
      </c>
      <c r="AG126" s="3">
        <f t="shared" si="576"/>
        <v>620.48500204802485</v>
      </c>
      <c r="AH126" s="3">
        <f t="shared" ref="AH126" si="685">($F$6*$B$5*AI63+$F$4*AG63)/($F$4+$F$6*$B$5)</f>
        <v>621.70161150857564</v>
      </c>
      <c r="AI126" s="3">
        <f t="shared" si="633"/>
        <v>650</v>
      </c>
      <c r="AJ126" s="3">
        <f t="shared" si="633"/>
        <v>650</v>
      </c>
      <c r="AK126" s="3">
        <f t="shared" si="633"/>
        <v>650</v>
      </c>
      <c r="AL126" s="5">
        <v>3</v>
      </c>
      <c r="AM126" s="6">
        <f t="shared" si="272"/>
        <v>1.8518518518518517E-2</v>
      </c>
      <c r="AP126" s="102"/>
      <c r="AQ126" s="101"/>
      <c r="AR126" s="5">
        <v>3</v>
      </c>
      <c r="AS126" s="6">
        <f t="shared" si="273"/>
        <v>1.8518518518518517E-2</v>
      </c>
      <c r="AT126" s="3">
        <f t="shared" si="634"/>
        <v>600</v>
      </c>
      <c r="AU126" s="3">
        <f t="shared" si="634"/>
        <v>600</v>
      </c>
      <c r="AV126" s="32">
        <f t="shared" si="634"/>
        <v>600</v>
      </c>
      <c r="AW126" s="69"/>
      <c r="AX126" s="23">
        <f t="shared" si="635"/>
        <v>-2160702501.4720645</v>
      </c>
      <c r="AY126" s="3">
        <f t="shared" ref="AY126" si="686">-($F$3*$F$2)/$B$8*L63</f>
        <v>-2161658828.5266781</v>
      </c>
      <c r="AZ126" s="3">
        <f t="shared" ref="AZ126" si="687">-($F$3*$F$2)/$B$8*M63</f>
        <v>-2162875065.0801587</v>
      </c>
      <c r="BA126" s="3">
        <f t="shared" ref="BA126" si="688">-($F$3*$F$2)/$B$8*N63</f>
        <v>-2164321150.2057624</v>
      </c>
      <c r="BB126" s="3">
        <f t="shared" ref="BB126" si="689">-($F$3*$F$2)/$B$8*O63</f>
        <v>-2166003632.1165595</v>
      </c>
      <c r="BC126" s="3">
        <f t="shared" ref="BC126" si="690">-($F$3*$F$2)/$B$8*P63</f>
        <v>-2167908241.1119428</v>
      </c>
      <c r="BD126" s="3">
        <f t="shared" ref="BD126" si="691">-($F$3*$F$2)/$B$8*Q63</f>
        <v>-2170023169.4411664</v>
      </c>
      <c r="BE126" s="3">
        <f t="shared" ref="BE126" si="692">-($F$3*$F$2)/$B$8*R63</f>
        <v>-2172340915.1493063</v>
      </c>
      <c r="BF126" s="3">
        <f t="shared" ref="BF126" si="693">-($F$3*$F$2)/$B$8*S63</f>
        <v>-2174854295.1329284</v>
      </c>
      <c r="BG126" s="3">
        <f t="shared" ref="BG126" si="694">-($F$3*$F$2)/$B$8*T63</f>
        <v>-2177556791.7101469</v>
      </c>
      <c r="BH126" s="3">
        <f t="shared" ref="BH126" si="695">-($F$3*$F$2)/$B$8*U63</f>
        <v>-2180442190.6538825</v>
      </c>
      <c r="BI126" s="3">
        <f t="shared" si="215"/>
        <v>-2183504284.2461238</v>
      </c>
      <c r="BJ126" s="3">
        <f t="shared" ref="BJ126" si="696">-($F$3*$F$2)/$B$8*W63</f>
        <v>-2186736570.8308973</v>
      </c>
      <c r="BK126" s="3">
        <f t="shared" ref="BK126" si="697">-($F$3*$F$2)/$B$8*X63</f>
        <v>-2190131970.2219343</v>
      </c>
      <c r="BL126" s="3">
        <f t="shared" ref="BL126" si="698">-($F$3*$F$2)/$B$8*Y63</f>
        <v>-2193682552.7956557</v>
      </c>
      <c r="BM126" s="3">
        <f t="shared" ref="BM126" si="699">-($F$3*$F$2)/$B$8*Z63</f>
        <v>-2197379279.3136463</v>
      </c>
      <c r="BN126" s="3">
        <f t="shared" ref="BN126" si="700">-($F$3*$F$2)/$B$8*AA63</f>
        <v>-2201211753.9541597</v>
      </c>
      <c r="BO126" s="3">
        <f t="shared" ref="BO126" si="701">-($F$3*$F$2)/$B$8*AB63</f>
        <v>-2205167982.1916366</v>
      </c>
      <c r="BP126" s="3">
        <f t="shared" ref="BP126" si="702">-($F$3*$F$2)/$B$8*AC63</f>
        <v>-2209234414.7417197</v>
      </c>
      <c r="BQ126" s="3">
        <f t="shared" ref="BQ126" si="703">-($F$3*$F$2)/$B$8*AD63</f>
        <v>-2213394461.7750373</v>
      </c>
      <c r="BR126" s="3">
        <f t="shared" ref="BR126" si="704">-($F$3*$F$2)/$B$8*AE63</f>
        <v>-2217628495.2112875</v>
      </c>
      <c r="BS126" s="3">
        <f t="shared" si="655"/>
        <v>-2221927037.0246749</v>
      </c>
      <c r="BT126" s="66">
        <f t="shared" si="656"/>
        <v>-2226250833.4881072</v>
      </c>
      <c r="BU126" s="69"/>
      <c r="BV126" s="34">
        <f t="shared" si="657"/>
        <v>650</v>
      </c>
      <c r="BW126" s="3">
        <f t="shared" si="657"/>
        <v>650</v>
      </c>
      <c r="BX126" s="3">
        <f t="shared" si="657"/>
        <v>650</v>
      </c>
      <c r="BY126" s="5">
        <v>3</v>
      </c>
      <c r="BZ126" s="6">
        <f t="shared" si="274"/>
        <v>1.8518518518518517E-2</v>
      </c>
      <c r="CC126" s="94"/>
      <c r="CD126" s="95"/>
      <c r="CE126" s="5">
        <v>3</v>
      </c>
      <c r="CF126" s="6">
        <f t="shared" si="275"/>
        <v>1.8518518518518517E-2</v>
      </c>
      <c r="CG126" s="3">
        <f t="shared" si="658"/>
        <v>600</v>
      </c>
      <c r="CH126" s="3">
        <f t="shared" si="658"/>
        <v>600</v>
      </c>
      <c r="CI126" s="3">
        <f t="shared" si="658"/>
        <v>600</v>
      </c>
      <c r="CJ126" s="3">
        <v>0</v>
      </c>
      <c r="CK126" s="3">
        <f t="shared" ref="CK126:DH126" si="705">$L$2/($L$3-$L$4*CJ126)</f>
        <v>0.34883720930232553</v>
      </c>
      <c r="CL126" s="3">
        <f t="shared" si="705"/>
        <v>0.39716748768472904</v>
      </c>
      <c r="CM126" s="3">
        <f t="shared" si="705"/>
        <v>0.40494040593779607</v>
      </c>
      <c r="CN126" s="3">
        <f t="shared" si="705"/>
        <v>0.4062190081621499</v>
      </c>
      <c r="CO126" s="3">
        <f t="shared" si="705"/>
        <v>0.40643010492156101</v>
      </c>
      <c r="CP126" s="3">
        <f t="shared" si="705"/>
        <v>0.40646497802255066</v>
      </c>
      <c r="CQ126" s="3">
        <f t="shared" si="705"/>
        <v>0.40647073962099717</v>
      </c>
      <c r="CR126" s="3">
        <f t="shared" si="705"/>
        <v>0.40647169154566137</v>
      </c>
      <c r="CS126" s="3">
        <f t="shared" si="705"/>
        <v>0.40647184882198806</v>
      </c>
      <c r="CT126" s="3">
        <f t="shared" si="705"/>
        <v>0.40647187480708435</v>
      </c>
      <c r="CU126" s="3">
        <f t="shared" si="705"/>
        <v>0.40647187910032606</v>
      </c>
      <c r="CV126" s="3">
        <f t="shared" si="705"/>
        <v>0.40647187980965277</v>
      </c>
      <c r="CW126" s="3">
        <f t="shared" si="705"/>
        <v>0.4064718799268473</v>
      </c>
      <c r="CX126" s="3">
        <f t="shared" si="705"/>
        <v>0.40647187994621015</v>
      </c>
      <c r="CY126" s="3">
        <f t="shared" si="705"/>
        <v>0.40647187994940925</v>
      </c>
      <c r="CZ126" s="3">
        <f t="shared" si="705"/>
        <v>0.40647187994993778</v>
      </c>
      <c r="DA126" s="3">
        <f t="shared" si="705"/>
        <v>0.40647187995002515</v>
      </c>
      <c r="DB126" s="3">
        <f t="shared" si="705"/>
        <v>0.40647187995003953</v>
      </c>
      <c r="DC126" s="3">
        <f t="shared" si="705"/>
        <v>0.40647187995004191</v>
      </c>
      <c r="DD126" s="3">
        <f t="shared" si="705"/>
        <v>0.40647187995004236</v>
      </c>
      <c r="DE126" s="3">
        <f t="shared" si="705"/>
        <v>0.40647187995004236</v>
      </c>
      <c r="DF126" s="3">
        <f t="shared" si="705"/>
        <v>0.40647187995004236</v>
      </c>
      <c r="DG126" s="3">
        <f t="shared" si="705"/>
        <v>0.40647187995004236</v>
      </c>
      <c r="DH126" s="3">
        <f t="shared" si="705"/>
        <v>0.40647187995004236</v>
      </c>
      <c r="DI126" s="3">
        <f t="shared" si="659"/>
        <v>650</v>
      </c>
      <c r="DJ126" s="3">
        <f t="shared" si="659"/>
        <v>650</v>
      </c>
      <c r="DK126" s="3">
        <f t="shared" si="659"/>
        <v>650</v>
      </c>
      <c r="DL126" s="5">
        <v>3</v>
      </c>
      <c r="DM126" s="6">
        <f t="shared" si="277"/>
        <v>1.8518518518518517E-2</v>
      </c>
      <c r="DQ126" s="94"/>
      <c r="DR126" s="95"/>
      <c r="DS126" s="5">
        <v>3</v>
      </c>
      <c r="DT126" s="6">
        <f t="shared" si="278"/>
        <v>1.8518518518518517E-2</v>
      </c>
      <c r="DU126" s="3">
        <f t="shared" si="660"/>
        <v>600</v>
      </c>
      <c r="DV126" s="3">
        <f t="shared" si="660"/>
        <v>600</v>
      </c>
      <c r="DW126" s="3">
        <f t="shared" si="660"/>
        <v>600</v>
      </c>
      <c r="DX126" s="3">
        <f t="shared" si="598"/>
        <v>602.0817970158231</v>
      </c>
      <c r="DY126" s="3">
        <f t="shared" si="661"/>
        <v>392.08974899878427</v>
      </c>
      <c r="DZ126" s="3">
        <f t="shared" si="662"/>
        <v>363.10225856583037</v>
      </c>
      <c r="EA126" s="3">
        <f t="shared" si="663"/>
        <v>358.58924623330665</v>
      </c>
      <c r="EB126" s="3">
        <f t="shared" si="664"/>
        <v>358.03011359007883</v>
      </c>
      <c r="EC126" s="3">
        <f t="shared" si="665"/>
        <v>358.15409186376849</v>
      </c>
      <c r="ED126" s="3">
        <f t="shared" si="666"/>
        <v>358.42220995212045</v>
      </c>
      <c r="EE126" s="3">
        <f t="shared" si="667"/>
        <v>358.74391920033594</v>
      </c>
      <c r="EF126" s="3">
        <f t="shared" si="668"/>
        <v>359.10308496245955</v>
      </c>
      <c r="EG126" s="3">
        <f t="shared" si="669"/>
        <v>359.49598236505716</v>
      </c>
      <c r="EH126" s="3">
        <f t="shared" si="670"/>
        <v>359.92104256201355</v>
      </c>
      <c r="EI126" s="3">
        <f t="shared" si="671"/>
        <v>360.37711450389997</v>
      </c>
      <c r="EJ126" s="3">
        <f t="shared" si="221"/>
        <v>360.86313684184938</v>
      </c>
      <c r="EK126" s="3">
        <f t="shared" si="222"/>
        <v>361.37804247150291</v>
      </c>
      <c r="EL126" s="3">
        <f t="shared" si="672"/>
        <v>361.9207029387328</v>
      </c>
      <c r="EM126" s="3">
        <f t="shared" si="673"/>
        <v>362.48988108787438</v>
      </c>
      <c r="EN126" s="3">
        <f t="shared" si="674"/>
        <v>363.08418657491171</v>
      </c>
      <c r="EO126" s="3">
        <f t="shared" si="675"/>
        <v>363.70203358752946</v>
      </c>
      <c r="EP126" s="3">
        <f t="shared" si="676"/>
        <v>364.34159989606974</v>
      </c>
      <c r="EQ126" s="3">
        <f t="shared" si="677"/>
        <v>365.000814524872</v>
      </c>
      <c r="ER126" s="3">
        <f t="shared" si="678"/>
        <v>365.67720686435956</v>
      </c>
      <c r="ES126" s="3">
        <f t="shared" si="679"/>
        <v>366.36784556462032</v>
      </c>
      <c r="ET126" s="3">
        <f t="shared" si="680"/>
        <v>367.07060854647949</v>
      </c>
      <c r="EU126" s="3">
        <f t="shared" si="681"/>
        <v>367.78077925016316</v>
      </c>
      <c r="EV126" s="3">
        <f t="shared" si="682"/>
        <v>149.49254475130536</v>
      </c>
      <c r="EW126" s="3">
        <f t="shared" si="683"/>
        <v>650</v>
      </c>
      <c r="EX126" s="3">
        <f t="shared" si="683"/>
        <v>650</v>
      </c>
      <c r="EY126" s="3">
        <f t="shared" si="683"/>
        <v>650</v>
      </c>
      <c r="EZ126" s="5">
        <v>3</v>
      </c>
      <c r="FA126" s="6">
        <f t="shared" si="279"/>
        <v>1.8518518518518517E-2</v>
      </c>
    </row>
    <row r="127" spans="3:157" ht="15" customHeight="1" x14ac:dyDescent="0.3">
      <c r="C127" s="94"/>
      <c r="D127" s="95"/>
      <c r="E127" s="5">
        <v>2</v>
      </c>
      <c r="F127" s="6">
        <f t="shared" si="269"/>
        <v>9.2592592592592587E-3</v>
      </c>
      <c r="G127" s="3">
        <f>$R$2</f>
        <v>600</v>
      </c>
      <c r="H127" s="3">
        <f>$R$2</f>
        <v>600</v>
      </c>
      <c r="I127" s="3">
        <f t="shared" ref="I127:I128" si="706">($F$5*$B$5*H64+$F$4*J64)/($F$4+$F$5*$B$5)</f>
        <v>601.7850952199517</v>
      </c>
      <c r="J127" s="3">
        <f t="shared" ref="J127:J128" si="707">CJ127*K127+DX127</f>
        <v>601.94821933465596</v>
      </c>
      <c r="K127" s="3">
        <f t="shared" ref="K127:K128" si="708">CK127*L127+DY127</f>
        <v>602.16303173868619</v>
      </c>
      <c r="L127" s="3">
        <f t="shared" ref="L127:L128" si="709">CL127*M127+DZ127</f>
        <v>602.43274181525271</v>
      </c>
      <c r="M127" s="3">
        <f t="shared" ref="M127:M128" si="710">CM127*N127+EA127</f>
        <v>602.76037213581139</v>
      </c>
      <c r="N127" s="3">
        <f t="shared" ref="N127:N128" si="711">CN127*O127+EB127</f>
        <v>603.14712416307952</v>
      </c>
      <c r="O127" s="3">
        <f t="shared" ref="O127:O128" si="712">CO127*P127+EC127</f>
        <v>603.59344379534878</v>
      </c>
      <c r="P127" s="3">
        <f t="shared" ref="P127:P128" si="713">CP127*Q127+ED127</f>
        <v>604.0988549311885</v>
      </c>
      <c r="Q127" s="3">
        <f t="shared" ref="Q127:Q128" si="714">CQ127*R127+EE127</f>
        <v>604.66234605476745</v>
      </c>
      <c r="R127" s="3">
        <f t="shared" ref="R127:R128" si="715">CR127*S127+EF127</f>
        <v>605.28262111091192</v>
      </c>
      <c r="S127" s="3">
        <f t="shared" ref="S127:S128" si="716">CS127*T127+EG127</f>
        <v>605.95818425213588</v>
      </c>
      <c r="T127" s="3">
        <f t="shared" ref="T127:T128" si="717">CT127*U127+EH127</f>
        <v>606.6873929957751</v>
      </c>
      <c r="U127" s="3">
        <f t="shared" ref="U127:U128" si="718">CU127*V127+EI127</f>
        <v>607.46847467296425</v>
      </c>
      <c r="V127" s="3">
        <f t="shared" si="181"/>
        <v>608.29951926733554</v>
      </c>
      <c r="W127" s="3">
        <f t="shared" si="181"/>
        <v>609.17845709389678</v>
      </c>
      <c r="X127" s="3">
        <f t="shared" si="181"/>
        <v>610.10302820953166</v>
      </c>
      <c r="Y127" s="3">
        <f t="shared" si="181"/>
        <v>611.07074904515673</v>
      </c>
      <c r="Z127" s="3">
        <f t="shared" si="181"/>
        <v>612.07888103139976</v>
      </c>
      <c r="AA127" s="3">
        <f t="shared" si="181"/>
        <v>613.12440590535857</v>
      </c>
      <c r="AB127" s="3">
        <f t="shared" si="181"/>
        <v>614.20401276217785</v>
      </c>
      <c r="AC127" s="3">
        <f t="shared" si="523"/>
        <v>615.31410314031518</v>
      </c>
      <c r="AD127" s="3">
        <f t="shared" si="524"/>
        <v>616.45081355818866</v>
      </c>
      <c r="AE127" s="3">
        <f t="shared" si="575"/>
        <v>617.61010501594319</v>
      </c>
      <c r="AF127" s="3">
        <f t="shared" si="576"/>
        <v>618.78793020764249</v>
      </c>
      <c r="AG127" s="3">
        <f t="shared" si="576"/>
        <v>619.98008362398252</v>
      </c>
      <c r="AH127" s="3">
        <f t="shared" si="576"/>
        <v>621.18297285733422</v>
      </c>
      <c r="AI127" s="3">
        <f t="shared" ref="AI127:AI128" si="719">($F$6*$B$5*AJ64+$F$4*AH64)/($F$4+$F$6*$B$5)</f>
        <v>622.38482694920788</v>
      </c>
      <c r="AJ127" s="3">
        <f>$R$3</f>
        <v>650</v>
      </c>
      <c r="AK127" s="3">
        <f>$R$3</f>
        <v>650</v>
      </c>
      <c r="AL127" s="5">
        <v>2</v>
      </c>
      <c r="AM127" s="6">
        <f t="shared" si="272"/>
        <v>9.2592592592592587E-3</v>
      </c>
      <c r="AP127" s="102"/>
      <c r="AQ127" s="101"/>
      <c r="AR127" s="5">
        <v>2</v>
      </c>
      <c r="AS127" s="6">
        <f t="shared" si="273"/>
        <v>9.2592592592592587E-3</v>
      </c>
      <c r="AT127" s="3">
        <f>$R$2</f>
        <v>600</v>
      </c>
      <c r="AU127" s="66">
        <f>$R$2</f>
        <v>600</v>
      </c>
      <c r="AV127" s="69"/>
      <c r="AW127" s="26">
        <f t="shared" ref="AW127" si="720">-($F$3*$F$2)/$B$8*J64</f>
        <v>-2159576221.4549365</v>
      </c>
      <c r="AX127" s="3">
        <f t="shared" ref="AX127" si="721">-($F$3*$F$2)/$B$8*K64</f>
        <v>-2160333681.5141053</v>
      </c>
      <c r="AY127" s="3">
        <f t="shared" ref="AY127" si="722">-($F$3*$F$2)/$B$8*L64</f>
        <v>-2161288887.8229995</v>
      </c>
      <c r="AZ127" s="3">
        <f t="shared" ref="AZ127" si="723">-($F$3*$F$2)/$B$8*M64</f>
        <v>-2162459451.3575149</v>
      </c>
      <c r="BA127" s="3">
        <f t="shared" ref="BA127" si="724">-($F$3*$F$2)/$B$8*N64</f>
        <v>-2163845271.6124244</v>
      </c>
      <c r="BB127" s="3">
        <f t="shared" ref="BB127" si="725">-($F$3*$F$2)/$B$8*O64</f>
        <v>-2165448637.5129294</v>
      </c>
      <c r="BC127" s="3">
        <f t="shared" ref="BC127" si="726">-($F$3*$F$2)/$B$8*P64</f>
        <v>-2167266240.3438635</v>
      </c>
      <c r="BD127" s="3">
        <f t="shared" ref="BD127" si="727">-($F$3*$F$2)/$B$8*Q64</f>
        <v>-2169293412.1636848</v>
      </c>
      <c r="BE127" s="3">
        <f t="shared" ref="BE127" si="728">-($F$3*$F$2)/$B$8*R64</f>
        <v>-2171525151.8737226</v>
      </c>
      <c r="BF127" s="3">
        <f t="shared" ref="BF127" si="729">-($F$3*$F$2)/$B$8*S64</f>
        <v>-2173955872.3026643</v>
      </c>
      <c r="BG127" s="3">
        <f t="shared" ref="BG127" si="730">-($F$3*$F$2)/$B$8*T64</f>
        <v>-2176579612.1239438</v>
      </c>
      <c r="BH127" s="3">
        <f t="shared" ref="BH127" si="731">-($F$3*$F$2)/$B$8*U64</f>
        <v>-2179390040.6494617</v>
      </c>
      <c r="BI127" s="3">
        <f t="shared" ref="BI127" si="732">-($F$3*$F$2)/$B$8*V64</f>
        <v>-2182380397.1499343</v>
      </c>
      <c r="BJ127" s="3">
        <f t="shared" ref="BJ127" si="733">-($F$3*$F$2)/$B$8*W64</f>
        <v>-2185543382.2361364</v>
      </c>
      <c r="BK127" s="3">
        <f t="shared" ref="BK127" si="734">-($F$3*$F$2)/$B$8*X64</f>
        <v>-2188871025.3750396</v>
      </c>
      <c r="BL127" s="3">
        <f t="shared" ref="BL127" si="735">-($F$3*$F$2)/$B$8*Y64</f>
        <v>-2192354545.4104648</v>
      </c>
      <c r="BM127" s="3">
        <f t="shared" ref="BM127" si="736">-($F$3*$F$2)/$B$8*Z64</f>
        <v>-2195984218.5855198</v>
      </c>
      <c r="BN127" s="3">
        <f t="shared" ref="BN127" si="737">-($F$3*$F$2)/$B$8*AA64</f>
        <v>-2199749268.9793849</v>
      </c>
      <c r="BO127" s="3">
        <f t="shared" ref="BO127" si="738">-($F$3*$F$2)/$B$8*AB64</f>
        <v>-2203637796.0124383</v>
      </c>
      <c r="BP127" s="3">
        <f t="shared" ref="BP127" si="739">-($F$3*$F$2)/$B$8*AC64</f>
        <v>-2207636795.1029429</v>
      </c>
      <c r="BQ127" s="3">
        <f t="shared" ref="BQ127" si="740">-($F$3*$F$2)/$B$8*AD64</f>
        <v>-2211732033.5416741</v>
      </c>
      <c r="BR127" s="3">
        <f t="shared" ref="BR127" si="741">-($F$3*$F$2)/$B$8*AE64</f>
        <v>-2215908327.1386728</v>
      </c>
      <c r="BS127" s="3">
        <f t="shared" ref="BS127" si="742">-($F$3*$F$2)/$B$8*AF64</f>
        <v>-2220151774.7350097</v>
      </c>
      <c r="BT127" s="3">
        <f t="shared" ref="BT127" si="743">-($F$3*$F$2)/$B$8*AG64</f>
        <v>-2224444093.7604218</v>
      </c>
      <c r="BU127" s="30">
        <f t="shared" ref="BU127" si="744">-($F$3*$F$2)/$B$8*AH64</f>
        <v>-2228808792.0978346</v>
      </c>
      <c r="BV127" s="69"/>
      <c r="BW127" s="23">
        <f>$R$3</f>
        <v>650</v>
      </c>
      <c r="BX127" s="3">
        <f>$R$3</f>
        <v>650</v>
      </c>
      <c r="BY127" s="5">
        <v>2</v>
      </c>
      <c r="BZ127" s="6">
        <f t="shared" si="274"/>
        <v>9.2592592592592587E-3</v>
      </c>
      <c r="CC127" s="94"/>
      <c r="CD127" s="95"/>
      <c r="CE127" s="5">
        <v>2</v>
      </c>
      <c r="CF127" s="6">
        <f t="shared" si="275"/>
        <v>9.2592592592592587E-3</v>
      </c>
      <c r="CG127" s="3">
        <f>$R$2</f>
        <v>600</v>
      </c>
      <c r="CH127" s="3">
        <f>$R$2</f>
        <v>600</v>
      </c>
      <c r="CI127" s="3">
        <v>0</v>
      </c>
      <c r="CJ127" s="3">
        <f t="shared" ref="CJ127:CT128" si="745">$L$2/($L$3-$L$4*CI127)</f>
        <v>0.34883720930232553</v>
      </c>
      <c r="CK127" s="3">
        <f t="shared" si="745"/>
        <v>0.39716748768472904</v>
      </c>
      <c r="CL127" s="3">
        <f t="shared" si="745"/>
        <v>0.40494040593779607</v>
      </c>
      <c r="CM127" s="3">
        <f t="shared" si="745"/>
        <v>0.4062190081621499</v>
      </c>
      <c r="CN127" s="3">
        <f t="shared" si="745"/>
        <v>0.40643010492156101</v>
      </c>
      <c r="CO127" s="3">
        <f t="shared" si="745"/>
        <v>0.40646497802255066</v>
      </c>
      <c r="CP127" s="3">
        <f t="shared" si="745"/>
        <v>0.40647073962099717</v>
      </c>
      <c r="CQ127" s="3">
        <f t="shared" si="745"/>
        <v>0.40647169154566137</v>
      </c>
      <c r="CR127" s="3">
        <f t="shared" si="745"/>
        <v>0.40647184882198806</v>
      </c>
      <c r="CS127" s="3">
        <f t="shared" si="745"/>
        <v>0.40647187480708435</v>
      </c>
      <c r="CT127" s="3">
        <f t="shared" si="745"/>
        <v>0.40647187910032606</v>
      </c>
      <c r="CU127" s="3">
        <f t="shared" ref="CU127:DI128" si="746">$L$2/($L$3-$L$4*CT127)</f>
        <v>0.40647187980965277</v>
      </c>
      <c r="CV127" s="3">
        <f t="shared" si="746"/>
        <v>0.4064718799268473</v>
      </c>
      <c r="CW127" s="3">
        <f t="shared" si="746"/>
        <v>0.40647187994621015</v>
      </c>
      <c r="CX127" s="3">
        <f t="shared" si="746"/>
        <v>0.40647187994940925</v>
      </c>
      <c r="CY127" s="3">
        <f t="shared" si="746"/>
        <v>0.40647187994993778</v>
      </c>
      <c r="CZ127" s="3">
        <f t="shared" si="746"/>
        <v>0.40647187995002515</v>
      </c>
      <c r="DA127" s="3">
        <f t="shared" si="746"/>
        <v>0.40647187995003953</v>
      </c>
      <c r="DB127" s="3">
        <f t="shared" si="746"/>
        <v>0.40647187995004191</v>
      </c>
      <c r="DC127" s="3">
        <f t="shared" si="746"/>
        <v>0.40647187995004236</v>
      </c>
      <c r="DD127" s="3">
        <f t="shared" si="746"/>
        <v>0.40647187995004236</v>
      </c>
      <c r="DE127" s="3">
        <f t="shared" si="746"/>
        <v>0.40647187995004236</v>
      </c>
      <c r="DF127" s="3">
        <f t="shared" si="746"/>
        <v>0.40647187995004236</v>
      </c>
      <c r="DG127" s="3">
        <f t="shared" si="746"/>
        <v>0.40647187995004236</v>
      </c>
      <c r="DH127" s="3">
        <f t="shared" si="746"/>
        <v>0.40647187995004236</v>
      </c>
      <c r="DI127" s="3">
        <f t="shared" si="746"/>
        <v>0.40647187995004236</v>
      </c>
      <c r="DJ127" s="3">
        <f>$R$3</f>
        <v>650</v>
      </c>
      <c r="DK127" s="3">
        <f>$R$3</f>
        <v>650</v>
      </c>
      <c r="DL127" s="5">
        <v>2</v>
      </c>
      <c r="DM127" s="6">
        <f t="shared" si="277"/>
        <v>9.2592592592592587E-3</v>
      </c>
      <c r="DQ127" s="94"/>
      <c r="DR127" s="95"/>
      <c r="DS127" s="5">
        <v>2</v>
      </c>
      <c r="DT127" s="6">
        <f t="shared" si="278"/>
        <v>9.2592592592592587E-3</v>
      </c>
      <c r="DU127" s="3">
        <f>$R$2</f>
        <v>600</v>
      </c>
      <c r="DV127" s="3">
        <f>$R$2</f>
        <v>600</v>
      </c>
      <c r="DW127" s="3">
        <f t="shared" si="598"/>
        <v>601.7850952199517</v>
      </c>
      <c r="DX127" s="3">
        <f t="shared" ref="DX127" si="747">(DW127*$L$4-AW127)/($L$3-$L$4*CI127)</f>
        <v>391.89134779790498</v>
      </c>
      <c r="DY127" s="3">
        <f t="shared" ref="DY127" si="748">(DX127*$L$4-AX127)/($L$3-$L$4*CJ127)</f>
        <v>362.89633317289923</v>
      </c>
      <c r="DZ127" s="3">
        <f t="shared" ref="DZ127" si="749">(DY127*$L$4-AY127)/($L$3-$L$4*CK127)</f>
        <v>358.35071203936025</v>
      </c>
      <c r="EA127" s="3">
        <f t="shared" ref="EA127" si="750">(DZ127*$L$4-AZ127)/($L$3-$L$4*CL127)</f>
        <v>357.75054558243221</v>
      </c>
      <c r="EB127" s="3">
        <f t="shared" ref="EB127" si="751">(EA127*$L$4-BA127)/($L$3-$L$4*CM127)</f>
        <v>357.82857747136956</v>
      </c>
      <c r="EC127" s="3">
        <f t="shared" ref="EC127" si="752">(EB127*$L$4-BB127)/($L$3-$L$4*CN127)</f>
        <v>358.04841600229526</v>
      </c>
      <c r="ED127" s="3">
        <f t="shared" ref="ED127" si="753">(EC127*$L$4-BC127)/($L$3-$L$4*CO127)</f>
        <v>358.32130390933986</v>
      </c>
      <c r="EE127" s="3">
        <f t="shared" ref="EE127" si="754">(ED127*$L$4-BD127)/($L$3-$L$4*CP127)</f>
        <v>358.63209518862345</v>
      </c>
      <c r="EF127" s="3">
        <f t="shared" ref="EF127" si="755">(EE127*$L$4-BE127)/($L$3-$L$4*CQ127)</f>
        <v>358.97767764913135</v>
      </c>
      <c r="EG127" s="3">
        <f t="shared" ref="EG127" si="756">(EF127*$L$4-BF127)/($L$3-$L$4*CR127)</f>
        <v>359.35682219932073</v>
      </c>
      <c r="EH127" s="3">
        <f t="shared" ref="EH127" si="757">(EG127*$L$4-BG127)/($L$3-$L$4*CS127)</f>
        <v>359.76854060124646</v>
      </c>
      <c r="EI127" s="3">
        <f t="shared" ref="EI127" si="758">(EH127*$L$4-BH127)/($L$3-$L$4*CT127)</f>
        <v>360.21182558906224</v>
      </c>
      <c r="EJ127" s="3">
        <f t="shared" ref="EJ127" si="759">(EI127*$L$4-BI127)/($L$3-$L$4*CU127)</f>
        <v>360.68560660144306</v>
      </c>
      <c r="EK127" s="3">
        <f t="shared" ref="EK127" si="760">(EJ127*$L$4-BJ127)/($L$3-$L$4*CV127)</f>
        <v>361.18873225669279</v>
      </c>
      <c r="EL127" s="3">
        <f t="shared" ref="EL127:EL128" si="761">(EK127*$L$4-BK127)/($L$3-$L$4*CW127)</f>
        <v>361.71995206305309</v>
      </c>
      <c r="EM127" s="3">
        <f t="shared" ref="EM127:EM128" si="762">(EL127*$L$4-BL127)/($L$3-$L$4*CX127)</f>
        <v>362.27789559466936</v>
      </c>
      <c r="EN127" s="3">
        <f t="shared" ref="EN127:EN128" si="763">(EM127*$L$4-BM127)/($L$3-$L$4*CY127)</f>
        <v>362.8610511198064</v>
      </c>
      <c r="EO127" s="3">
        <f t="shared" ref="EO127:EO128" si="764">(EN127*$L$4-BN127)/($L$3-$L$4*CZ127)</f>
        <v>363.46774616505809</v>
      </c>
      <c r="EP127" s="3">
        <f t="shared" ref="EP127:EP128" si="765">(EO127*$L$4-BO127)/($L$3-$L$4*DA127)</f>
        <v>364.09613249896</v>
      </c>
      <c r="EQ127" s="3">
        <f t="shared" ref="EQ127:EQ128" si="766">(EP127*$L$4-BP127)/($L$3-$L$4*DB127)</f>
        <v>364.7441820565852</v>
      </c>
      <c r="ER127" s="3">
        <f t="shared" ref="ER127:ER128" si="767">(EQ127*$L$4-BQ127)/($L$3-$L$4*DC127)</f>
        <v>365.40967309621516</v>
      </c>
      <c r="ES127" s="3">
        <f t="shared" ref="ES127:ES128" si="768">(ER127*$L$4-BR127)/($L$3-$L$4*DD127)</f>
        <v>366.0902117340471</v>
      </c>
      <c r="ET127" s="3">
        <f t="shared" ref="ET127:ET128" si="769">(ES127*$L$4-BS127)/($L$3-$L$4*DE127)</f>
        <v>366.78346008541786</v>
      </c>
      <c r="EU127" s="3">
        <f t="shared" ref="EU127:EU128" si="770">(ET127*$L$4-BT127)/($L$3-$L$4*DF127)</f>
        <v>367.48667285370578</v>
      </c>
      <c r="EV127" s="3">
        <f t="shared" ref="EV127:EV128" si="771">(EU127*$L$4-BU127)/($L$3-$L$4*DG127)</f>
        <v>368.20104219490787</v>
      </c>
      <c r="EW127" s="3">
        <f t="shared" ref="EW127:EW128" si="772">(EV127*$L$4-BV127)/($L$3-$L$4*DH127)</f>
        <v>149.66336982052908</v>
      </c>
      <c r="EX127" s="3">
        <f>$R$3</f>
        <v>650</v>
      </c>
      <c r="EY127" s="3">
        <f>$R$3</f>
        <v>650</v>
      </c>
      <c r="EZ127" s="5">
        <v>2</v>
      </c>
      <c r="FA127" s="6">
        <f t="shared" si="279"/>
        <v>9.2592592592592587E-3</v>
      </c>
    </row>
    <row r="128" spans="3:157" ht="15" customHeight="1" x14ac:dyDescent="0.3">
      <c r="C128" s="94"/>
      <c r="D128" s="95"/>
      <c r="E128" s="5">
        <v>1</v>
      </c>
      <c r="F128" s="6">
        <v>0</v>
      </c>
      <c r="G128" s="3">
        <f>$R$2</f>
        <v>600</v>
      </c>
      <c r="H128" s="3">
        <f>$R$2</f>
        <v>600</v>
      </c>
      <c r="I128" s="3">
        <f t="shared" si="706"/>
        <v>601.7850952199517</v>
      </c>
      <c r="J128" s="3">
        <f t="shared" si="707"/>
        <v>601.94821933465596</v>
      </c>
      <c r="K128" s="3">
        <f t="shared" si="708"/>
        <v>602.16303173868619</v>
      </c>
      <c r="L128" s="3">
        <f t="shared" si="709"/>
        <v>602.43274181525271</v>
      </c>
      <c r="M128" s="3">
        <f t="shared" si="710"/>
        <v>602.76037213581139</v>
      </c>
      <c r="N128" s="3">
        <f t="shared" si="711"/>
        <v>603.14712416307952</v>
      </c>
      <c r="O128" s="3">
        <f t="shared" si="712"/>
        <v>603.59344379534878</v>
      </c>
      <c r="P128" s="3">
        <f t="shared" si="713"/>
        <v>604.0988549311885</v>
      </c>
      <c r="Q128" s="3">
        <f t="shared" si="714"/>
        <v>604.66234605476734</v>
      </c>
      <c r="R128" s="3">
        <f t="shared" si="715"/>
        <v>605.28262111091192</v>
      </c>
      <c r="S128" s="3">
        <f t="shared" si="716"/>
        <v>605.95818425213588</v>
      </c>
      <c r="T128" s="3">
        <f t="shared" si="717"/>
        <v>606.6873929957751</v>
      </c>
      <c r="U128" s="3">
        <f t="shared" si="718"/>
        <v>607.46847467296425</v>
      </c>
      <c r="V128" s="3">
        <f t="shared" si="181"/>
        <v>608.29951926733554</v>
      </c>
      <c r="W128" s="3">
        <f t="shared" si="181"/>
        <v>609.17845709389678</v>
      </c>
      <c r="X128" s="3">
        <f t="shared" si="181"/>
        <v>610.10302820953154</v>
      </c>
      <c r="Y128" s="3">
        <f t="shared" si="181"/>
        <v>611.07074904515662</v>
      </c>
      <c r="Z128" s="3">
        <f t="shared" si="181"/>
        <v>612.07888103139976</v>
      </c>
      <c r="AA128" s="3">
        <f t="shared" si="181"/>
        <v>613.12440590535857</v>
      </c>
      <c r="AB128" s="3">
        <f t="shared" si="181"/>
        <v>614.20401276217785</v>
      </c>
      <c r="AC128" s="3">
        <f t="shared" si="523"/>
        <v>615.31410314031518</v>
      </c>
      <c r="AD128" s="3">
        <f t="shared" si="524"/>
        <v>616.45081355818866</v>
      </c>
      <c r="AE128" s="3">
        <f t="shared" si="575"/>
        <v>617.61010501594319</v>
      </c>
      <c r="AF128" s="3">
        <f t="shared" si="576"/>
        <v>618.78793020764249</v>
      </c>
      <c r="AG128" s="3">
        <f t="shared" si="576"/>
        <v>619.98008362398252</v>
      </c>
      <c r="AH128" s="3">
        <f t="shared" si="576"/>
        <v>621.18297285733422</v>
      </c>
      <c r="AI128" s="3">
        <f t="shared" si="719"/>
        <v>622.38482694920788</v>
      </c>
      <c r="AJ128" s="3">
        <f>$R$3</f>
        <v>650</v>
      </c>
      <c r="AK128" s="3">
        <f>$R$3</f>
        <v>650</v>
      </c>
      <c r="AL128" s="5">
        <v>1</v>
      </c>
      <c r="AM128" s="6">
        <v>0</v>
      </c>
      <c r="AP128" s="102"/>
      <c r="AQ128" s="101"/>
      <c r="AR128" s="5">
        <v>1</v>
      </c>
      <c r="AS128" s="6">
        <v>0</v>
      </c>
      <c r="AT128" s="3">
        <f>$R$2</f>
        <v>600</v>
      </c>
      <c r="AU128" s="66">
        <f>$R$2</f>
        <v>600</v>
      </c>
      <c r="AV128" s="69"/>
      <c r="AW128" s="23">
        <f t="shared" ref="AW128" si="773">-($F$3*$F$2)/$B$8*J65</f>
        <v>-2159576221.4549365</v>
      </c>
      <c r="AX128" s="3">
        <f t="shared" ref="AX128" si="774">-($F$3*$F$2)/$B$8*K65</f>
        <v>-2160333681.5141053</v>
      </c>
      <c r="AY128" s="3">
        <f t="shared" ref="AY128" si="775">-($F$3*$F$2)/$B$8*L65</f>
        <v>-2161288887.8229995</v>
      </c>
      <c r="AZ128" s="3">
        <f t="shared" ref="AZ128" si="776">-($F$3*$F$2)/$B$8*M65</f>
        <v>-2162459451.3575144</v>
      </c>
      <c r="BA128" s="3">
        <f t="shared" ref="BA128" si="777">-($F$3*$F$2)/$B$8*N65</f>
        <v>-2163845271.6124244</v>
      </c>
      <c r="BB128" s="3">
        <f t="shared" ref="BB128" si="778">-($F$3*$F$2)/$B$8*O65</f>
        <v>-2165448637.5129294</v>
      </c>
      <c r="BC128" s="3">
        <f t="shared" ref="BC128" si="779">-($F$3*$F$2)/$B$8*P65</f>
        <v>-2167266240.3438635</v>
      </c>
      <c r="BD128" s="3">
        <f t="shared" ref="BD128" si="780">-($F$3*$F$2)/$B$8*Q65</f>
        <v>-2169293412.1636844</v>
      </c>
      <c r="BE128" s="3">
        <f t="shared" ref="BE128" si="781">-($F$3*$F$2)/$B$8*R65</f>
        <v>-2171525151.8737226</v>
      </c>
      <c r="BF128" s="3">
        <f t="shared" ref="BF128" si="782">-($F$3*$F$2)/$B$8*S65</f>
        <v>-2173955872.3026643</v>
      </c>
      <c r="BG128" s="3">
        <f t="shared" ref="BG128" si="783">-($F$3*$F$2)/$B$8*T65</f>
        <v>-2176579612.1239438</v>
      </c>
      <c r="BH128" s="3">
        <f t="shared" ref="BH128" si="784">-($F$3*$F$2)/$B$8*U65</f>
        <v>-2179390040.6494617</v>
      </c>
      <c r="BI128" s="3">
        <f t="shared" si="215"/>
        <v>-2182380397.1499343</v>
      </c>
      <c r="BJ128" s="3">
        <f t="shared" ref="BJ128" si="785">-($F$3*$F$2)/$B$8*W65</f>
        <v>-2185543382.2361364</v>
      </c>
      <c r="BK128" s="3">
        <f t="shared" ref="BK128" si="786">-($F$3*$F$2)/$B$8*X65</f>
        <v>-2188871025.3750391</v>
      </c>
      <c r="BL128" s="3">
        <f t="shared" ref="BL128" si="787">-($F$3*$F$2)/$B$8*Y65</f>
        <v>-2192354545.4104643</v>
      </c>
      <c r="BM128" s="3">
        <f t="shared" ref="BM128" si="788">-($F$3*$F$2)/$B$8*Z65</f>
        <v>-2195984218.5855198</v>
      </c>
      <c r="BN128" s="3">
        <f t="shared" ref="BN128" si="789">-($F$3*$F$2)/$B$8*AA65</f>
        <v>-2199749268.9793849</v>
      </c>
      <c r="BO128" s="3">
        <f t="shared" ref="BO128" si="790">-($F$3*$F$2)/$B$8*AB65</f>
        <v>-2203637796.0124383</v>
      </c>
      <c r="BP128" s="3">
        <f t="shared" ref="BP128" si="791">-($F$3*$F$2)/$B$8*AC65</f>
        <v>-2207636795.1029429</v>
      </c>
      <c r="BQ128" s="3">
        <f t="shared" ref="BQ128" si="792">-($F$3*$F$2)/$B$8*AD65</f>
        <v>-2211732033.5416741</v>
      </c>
      <c r="BR128" s="3">
        <f t="shared" ref="BR128" si="793">-($F$3*$F$2)/$B$8*AE65</f>
        <v>-2215908327.1386728</v>
      </c>
      <c r="BS128" s="3">
        <f t="shared" ref="BS128" si="794">-($F$3*$F$2)/$B$8*AF65</f>
        <v>-2220151774.7350097</v>
      </c>
      <c r="BT128" s="3">
        <f t="shared" ref="BT128" si="795">-($F$3*$F$2)/$B$8*AG65</f>
        <v>-2224444093.7604213</v>
      </c>
      <c r="BU128" s="66">
        <f t="shared" ref="BU128" si="796">-($F$3*$F$2)/$B$8*AH65</f>
        <v>-2228808792.0978346</v>
      </c>
      <c r="BV128" s="69"/>
      <c r="BW128" s="23">
        <f>$R$3</f>
        <v>650</v>
      </c>
      <c r="BX128" s="3">
        <f>$R$3</f>
        <v>650</v>
      </c>
      <c r="BY128" s="5">
        <v>1</v>
      </c>
      <c r="BZ128" s="6">
        <v>0</v>
      </c>
      <c r="CC128" s="94"/>
      <c r="CD128" s="95"/>
      <c r="CE128" s="5">
        <v>1</v>
      </c>
      <c r="CF128" s="6">
        <v>0</v>
      </c>
      <c r="CG128" s="3">
        <f>$R$2</f>
        <v>600</v>
      </c>
      <c r="CH128" s="3">
        <f>$R$2</f>
        <v>600</v>
      </c>
      <c r="CI128" s="3">
        <v>0</v>
      </c>
      <c r="CJ128" s="3">
        <f t="shared" si="745"/>
        <v>0.34883720930232553</v>
      </c>
      <c r="CK128" s="3">
        <f t="shared" si="745"/>
        <v>0.39716748768472904</v>
      </c>
      <c r="CL128" s="3">
        <f t="shared" si="745"/>
        <v>0.40494040593779607</v>
      </c>
      <c r="CM128" s="3">
        <f t="shared" si="745"/>
        <v>0.4062190081621499</v>
      </c>
      <c r="CN128" s="3">
        <f t="shared" si="745"/>
        <v>0.40643010492156101</v>
      </c>
      <c r="CO128" s="3">
        <f t="shared" si="745"/>
        <v>0.40646497802255066</v>
      </c>
      <c r="CP128" s="3">
        <f t="shared" si="745"/>
        <v>0.40647073962099717</v>
      </c>
      <c r="CQ128" s="3">
        <f t="shared" si="745"/>
        <v>0.40647169154566137</v>
      </c>
      <c r="CR128" s="3">
        <f t="shared" si="745"/>
        <v>0.40647184882198806</v>
      </c>
      <c r="CS128" s="3">
        <f t="shared" si="745"/>
        <v>0.40647187480708435</v>
      </c>
      <c r="CT128" s="3">
        <f t="shared" si="745"/>
        <v>0.40647187910032606</v>
      </c>
      <c r="CU128" s="3">
        <f t="shared" si="746"/>
        <v>0.40647187980965277</v>
      </c>
      <c r="CV128" s="3">
        <f t="shared" si="746"/>
        <v>0.4064718799268473</v>
      </c>
      <c r="CW128" s="3">
        <f t="shared" si="746"/>
        <v>0.40647187994621015</v>
      </c>
      <c r="CX128" s="3">
        <f t="shared" si="746"/>
        <v>0.40647187994940925</v>
      </c>
      <c r="CY128" s="3">
        <f t="shared" si="746"/>
        <v>0.40647187994993778</v>
      </c>
      <c r="CZ128" s="3">
        <f t="shared" si="746"/>
        <v>0.40647187995002515</v>
      </c>
      <c r="DA128" s="3">
        <f t="shared" si="746"/>
        <v>0.40647187995003953</v>
      </c>
      <c r="DB128" s="3">
        <f t="shared" si="746"/>
        <v>0.40647187995004191</v>
      </c>
      <c r="DC128" s="3">
        <f t="shared" si="746"/>
        <v>0.40647187995004236</v>
      </c>
      <c r="DD128" s="3">
        <f t="shared" si="746"/>
        <v>0.40647187995004236</v>
      </c>
      <c r="DE128" s="3">
        <f t="shared" si="746"/>
        <v>0.40647187995004236</v>
      </c>
      <c r="DF128" s="3">
        <f t="shared" si="746"/>
        <v>0.40647187995004236</v>
      </c>
      <c r="DG128" s="3">
        <f t="shared" si="746"/>
        <v>0.40647187995004236</v>
      </c>
      <c r="DH128" s="3">
        <f t="shared" si="746"/>
        <v>0.40647187995004236</v>
      </c>
      <c r="DI128" s="3">
        <f t="shared" si="746"/>
        <v>0.40647187995004236</v>
      </c>
      <c r="DJ128" s="3">
        <f>$R$3</f>
        <v>650</v>
      </c>
      <c r="DK128" s="3">
        <f>$R$3</f>
        <v>650</v>
      </c>
      <c r="DL128" s="5">
        <v>1</v>
      </c>
      <c r="DM128" s="6">
        <v>0</v>
      </c>
      <c r="DQ128" s="94"/>
      <c r="DR128" s="95"/>
      <c r="DS128" s="5">
        <v>1</v>
      </c>
      <c r="DT128" s="6">
        <v>0</v>
      </c>
      <c r="DU128" s="3">
        <f>$R$2</f>
        <v>600</v>
      </c>
      <c r="DV128" s="3">
        <f>$R$2</f>
        <v>600</v>
      </c>
      <c r="DW128" s="3">
        <f t="shared" si="598"/>
        <v>601.7850952199517</v>
      </c>
      <c r="DX128" s="3">
        <f t="shared" ref="DX128:DY128" si="797">(DW128*$L$4-AW128)/($L$3-$L$4*CI128)</f>
        <v>391.89134779790498</v>
      </c>
      <c r="DY128" s="3">
        <f t="shared" si="797"/>
        <v>362.89633317289923</v>
      </c>
      <c r="DZ128" s="3">
        <f t="shared" ref="DZ128" si="798">(DY128*$L$4-AY128)/($L$3-$L$4*CK128)</f>
        <v>358.35071203936025</v>
      </c>
      <c r="EA128" s="3">
        <f t="shared" ref="EA128" si="799">(DZ128*$L$4-AZ128)/($L$3-$L$4*CL128)</f>
        <v>357.7505455824321</v>
      </c>
      <c r="EB128" s="3">
        <f t="shared" ref="EB128" si="800">(EA128*$L$4-BA128)/($L$3-$L$4*CM128)</f>
        <v>357.82857747136956</v>
      </c>
      <c r="EC128" s="3">
        <f t="shared" ref="EC128" si="801">(EB128*$L$4-BB128)/($L$3-$L$4*CN128)</f>
        <v>358.04841600229526</v>
      </c>
      <c r="ED128" s="3">
        <f t="shared" ref="ED128" si="802">(EC128*$L$4-BC128)/($L$3-$L$4*CO128)</f>
        <v>358.32130390933986</v>
      </c>
      <c r="EE128" s="3">
        <f t="shared" ref="EE128" si="803">(ED128*$L$4-BD128)/($L$3-$L$4*CP128)</f>
        <v>358.6320951886234</v>
      </c>
      <c r="EF128" s="3">
        <f t="shared" ref="EF128" si="804">(EE128*$L$4-BE128)/($L$3-$L$4*CQ128)</f>
        <v>358.97767764913135</v>
      </c>
      <c r="EG128" s="3">
        <f t="shared" ref="EG128" si="805">(EF128*$L$4-BF128)/($L$3-$L$4*CR128)</f>
        <v>359.35682219932073</v>
      </c>
      <c r="EH128" s="3">
        <f t="shared" ref="EH128" si="806">(EG128*$L$4-BG128)/($L$3-$L$4*CS128)</f>
        <v>359.76854060124646</v>
      </c>
      <c r="EI128" s="3">
        <f t="shared" ref="EI128" si="807">(EH128*$L$4-BH128)/($L$3-$L$4*CT128)</f>
        <v>360.21182558906224</v>
      </c>
      <c r="EJ128" s="3">
        <f t="shared" si="221"/>
        <v>360.68560660144306</v>
      </c>
      <c r="EK128" s="3">
        <f t="shared" si="222"/>
        <v>361.18873225669279</v>
      </c>
      <c r="EL128" s="3">
        <f t="shared" si="761"/>
        <v>361.71995206305303</v>
      </c>
      <c r="EM128" s="3">
        <f t="shared" si="762"/>
        <v>362.2778955946693</v>
      </c>
      <c r="EN128" s="3">
        <f t="shared" si="763"/>
        <v>362.8610511198064</v>
      </c>
      <c r="EO128" s="3">
        <f t="shared" si="764"/>
        <v>363.46774616505809</v>
      </c>
      <c r="EP128" s="3">
        <f t="shared" si="765"/>
        <v>364.09613249896</v>
      </c>
      <c r="EQ128" s="3">
        <f t="shared" si="766"/>
        <v>364.7441820565852</v>
      </c>
      <c r="ER128" s="3">
        <f t="shared" si="767"/>
        <v>365.40967309621516</v>
      </c>
      <c r="ES128" s="3">
        <f t="shared" si="768"/>
        <v>366.0902117340471</v>
      </c>
      <c r="ET128" s="3">
        <f t="shared" si="769"/>
        <v>366.78346008541786</v>
      </c>
      <c r="EU128" s="3">
        <f t="shared" si="770"/>
        <v>367.48667285370573</v>
      </c>
      <c r="EV128" s="3">
        <f t="shared" si="771"/>
        <v>368.20104219490787</v>
      </c>
      <c r="EW128" s="3">
        <f t="shared" si="772"/>
        <v>149.66336982052908</v>
      </c>
      <c r="EX128" s="3">
        <f>$R$3</f>
        <v>650</v>
      </c>
      <c r="EY128" s="3">
        <f>$R$3</f>
        <v>650</v>
      </c>
      <c r="EZ128" s="5">
        <v>1</v>
      </c>
      <c r="FA128" s="6">
        <v>0</v>
      </c>
    </row>
    <row r="129" spans="3:157" ht="15" customHeight="1" x14ac:dyDescent="0.3">
      <c r="C129" s="94"/>
      <c r="D129" s="95"/>
      <c r="E129" s="10"/>
      <c r="F129" s="8"/>
      <c r="G129" s="5">
        <v>0</v>
      </c>
      <c r="H129" s="6">
        <f t="shared" ref="H129:AK129" si="808">$B$5*(H130-1)</f>
        <v>3.3333333333333335E-3</v>
      </c>
      <c r="I129" s="6">
        <f t="shared" si="808"/>
        <v>6.6666666666666671E-3</v>
      </c>
      <c r="J129" s="6">
        <f t="shared" si="808"/>
        <v>0.01</v>
      </c>
      <c r="K129" s="6">
        <f t="shared" si="808"/>
        <v>1.3333333333333334E-2</v>
      </c>
      <c r="L129" s="6">
        <f t="shared" si="808"/>
        <v>1.6666666666666666E-2</v>
      </c>
      <c r="M129" s="6">
        <f t="shared" si="808"/>
        <v>0.02</v>
      </c>
      <c r="N129" s="6">
        <f t="shared" si="808"/>
        <v>2.3333333333333334E-2</v>
      </c>
      <c r="O129" s="6">
        <f t="shared" si="808"/>
        <v>2.6666666666666668E-2</v>
      </c>
      <c r="P129" s="6">
        <f t="shared" si="808"/>
        <v>3.0000000000000002E-2</v>
      </c>
      <c r="Q129" s="6">
        <f t="shared" si="808"/>
        <v>3.3333333333333333E-2</v>
      </c>
      <c r="R129" s="6">
        <f t="shared" si="808"/>
        <v>3.6666666666666667E-2</v>
      </c>
      <c r="S129" s="6">
        <f t="shared" si="808"/>
        <v>0.04</v>
      </c>
      <c r="T129" s="6">
        <f t="shared" si="808"/>
        <v>4.3333333333333335E-2</v>
      </c>
      <c r="U129" s="6">
        <f t="shared" si="808"/>
        <v>4.6666666666666669E-2</v>
      </c>
      <c r="V129" s="6">
        <f t="shared" si="808"/>
        <v>0.05</v>
      </c>
      <c r="W129" s="6">
        <f t="shared" si="808"/>
        <v>5.3333333333333337E-2</v>
      </c>
      <c r="X129" s="6">
        <f t="shared" si="808"/>
        <v>5.6666666666666671E-2</v>
      </c>
      <c r="Y129" s="6">
        <f t="shared" si="808"/>
        <v>6.0000000000000005E-2</v>
      </c>
      <c r="Z129" s="6">
        <f t="shared" si="808"/>
        <v>6.3333333333333339E-2</v>
      </c>
      <c r="AA129" s="6">
        <f t="shared" si="808"/>
        <v>6.6666666666666666E-2</v>
      </c>
      <c r="AB129" s="6">
        <f t="shared" si="808"/>
        <v>7.0000000000000007E-2</v>
      </c>
      <c r="AC129" s="6">
        <f t="shared" si="808"/>
        <v>7.3333333333333334E-2</v>
      </c>
      <c r="AD129" s="6">
        <f t="shared" si="808"/>
        <v>7.6666666666666675E-2</v>
      </c>
      <c r="AE129" s="6">
        <f t="shared" si="808"/>
        <v>0.08</v>
      </c>
      <c r="AF129" s="6">
        <f t="shared" si="808"/>
        <v>8.3333333333333343E-2</v>
      </c>
      <c r="AG129" s="6">
        <f t="shared" si="808"/>
        <v>8.666666666666667E-2</v>
      </c>
      <c r="AH129" s="6">
        <f t="shared" si="808"/>
        <v>9.0000000000000011E-2</v>
      </c>
      <c r="AI129" s="6">
        <f t="shared" si="808"/>
        <v>9.3333333333333338E-2</v>
      </c>
      <c r="AJ129" s="6">
        <f t="shared" si="808"/>
        <v>9.6666666666666679E-2</v>
      </c>
      <c r="AK129" s="6">
        <f t="shared" si="808"/>
        <v>0.1</v>
      </c>
      <c r="AL129" s="4"/>
      <c r="AM129" s="8"/>
      <c r="AP129" s="102"/>
      <c r="AQ129" s="101"/>
      <c r="AR129" s="10"/>
      <c r="AS129" s="8"/>
      <c r="AT129" s="5">
        <v>0</v>
      </c>
      <c r="AU129" s="6">
        <f t="shared" ref="AU129:BX129" si="809">$B$5*(AU130-1)</f>
        <v>3.3333333333333335E-3</v>
      </c>
      <c r="AV129" s="28">
        <f t="shared" si="809"/>
        <v>6.6666666666666671E-3</v>
      </c>
      <c r="AW129" s="6">
        <f t="shared" si="809"/>
        <v>0.01</v>
      </c>
      <c r="AX129" s="6">
        <f t="shared" si="809"/>
        <v>1.3333333333333334E-2</v>
      </c>
      <c r="AY129" s="6">
        <f t="shared" si="809"/>
        <v>1.6666666666666666E-2</v>
      </c>
      <c r="AZ129" s="6">
        <f t="shared" si="809"/>
        <v>0.02</v>
      </c>
      <c r="BA129" s="6">
        <f t="shared" si="809"/>
        <v>2.3333333333333334E-2</v>
      </c>
      <c r="BB129" s="6">
        <f t="shared" si="809"/>
        <v>2.6666666666666668E-2</v>
      </c>
      <c r="BC129" s="6">
        <f t="shared" si="809"/>
        <v>3.0000000000000002E-2</v>
      </c>
      <c r="BD129" s="6">
        <f t="shared" si="809"/>
        <v>3.3333333333333333E-2</v>
      </c>
      <c r="BE129" s="6">
        <f t="shared" si="809"/>
        <v>3.6666666666666667E-2</v>
      </c>
      <c r="BF129" s="6">
        <f t="shared" si="809"/>
        <v>0.04</v>
      </c>
      <c r="BG129" s="6">
        <f t="shared" si="809"/>
        <v>4.3333333333333335E-2</v>
      </c>
      <c r="BH129" s="6">
        <f t="shared" si="809"/>
        <v>4.6666666666666669E-2</v>
      </c>
      <c r="BI129" s="6">
        <f t="shared" si="809"/>
        <v>0.05</v>
      </c>
      <c r="BJ129" s="6">
        <f t="shared" si="809"/>
        <v>5.3333333333333337E-2</v>
      </c>
      <c r="BK129" s="6">
        <f t="shared" si="809"/>
        <v>5.6666666666666671E-2</v>
      </c>
      <c r="BL129" s="6">
        <f t="shared" si="809"/>
        <v>6.0000000000000005E-2</v>
      </c>
      <c r="BM129" s="6">
        <f t="shared" si="809"/>
        <v>6.3333333333333339E-2</v>
      </c>
      <c r="BN129" s="6">
        <f t="shared" si="809"/>
        <v>6.6666666666666666E-2</v>
      </c>
      <c r="BO129" s="6">
        <f t="shared" si="809"/>
        <v>7.0000000000000007E-2</v>
      </c>
      <c r="BP129" s="6">
        <f t="shared" si="809"/>
        <v>7.3333333333333334E-2</v>
      </c>
      <c r="BQ129" s="6">
        <f t="shared" si="809"/>
        <v>7.6666666666666675E-2</v>
      </c>
      <c r="BR129" s="6">
        <f t="shared" si="809"/>
        <v>0.08</v>
      </c>
      <c r="BS129" s="6">
        <f t="shared" si="809"/>
        <v>8.3333333333333343E-2</v>
      </c>
      <c r="BT129" s="6">
        <f t="shared" si="809"/>
        <v>8.666666666666667E-2</v>
      </c>
      <c r="BU129" s="6">
        <f t="shared" si="809"/>
        <v>9.0000000000000011E-2</v>
      </c>
      <c r="BV129" s="28">
        <f t="shared" si="809"/>
        <v>9.3333333333333338E-2</v>
      </c>
      <c r="BW129" s="6">
        <f t="shared" si="809"/>
        <v>9.6666666666666679E-2</v>
      </c>
      <c r="BX129" s="6">
        <f t="shared" si="809"/>
        <v>0.1</v>
      </c>
      <c r="BY129" s="4"/>
      <c r="BZ129" s="8"/>
      <c r="CC129" s="94"/>
      <c r="CD129" s="95"/>
      <c r="CE129" s="10"/>
      <c r="CF129" s="8"/>
      <c r="CG129" s="5">
        <v>0</v>
      </c>
      <c r="CH129" s="6">
        <f t="shared" ref="CH129:DK129" si="810">$B$5*(CH130-1)</f>
        <v>3.3333333333333335E-3</v>
      </c>
      <c r="CI129" s="6">
        <f t="shared" si="810"/>
        <v>6.6666666666666671E-3</v>
      </c>
      <c r="CJ129" s="6">
        <f t="shared" si="810"/>
        <v>0.01</v>
      </c>
      <c r="CK129" s="6">
        <f t="shared" si="810"/>
        <v>1.3333333333333334E-2</v>
      </c>
      <c r="CL129" s="6">
        <f t="shared" si="810"/>
        <v>1.6666666666666666E-2</v>
      </c>
      <c r="CM129" s="6">
        <f t="shared" si="810"/>
        <v>0.02</v>
      </c>
      <c r="CN129" s="6">
        <f t="shared" si="810"/>
        <v>2.3333333333333334E-2</v>
      </c>
      <c r="CO129" s="6">
        <f t="shared" si="810"/>
        <v>2.6666666666666668E-2</v>
      </c>
      <c r="CP129" s="6">
        <f t="shared" si="810"/>
        <v>3.0000000000000002E-2</v>
      </c>
      <c r="CQ129" s="6">
        <f t="shared" si="810"/>
        <v>3.3333333333333333E-2</v>
      </c>
      <c r="CR129" s="6">
        <f t="shared" si="810"/>
        <v>3.6666666666666667E-2</v>
      </c>
      <c r="CS129" s="6">
        <f t="shared" si="810"/>
        <v>0.04</v>
      </c>
      <c r="CT129" s="6">
        <f t="shared" si="810"/>
        <v>4.3333333333333335E-2</v>
      </c>
      <c r="CU129" s="6">
        <f t="shared" si="810"/>
        <v>4.6666666666666669E-2</v>
      </c>
      <c r="CV129" s="6">
        <f t="shared" si="810"/>
        <v>0.05</v>
      </c>
      <c r="CW129" s="6">
        <f t="shared" si="810"/>
        <v>5.3333333333333337E-2</v>
      </c>
      <c r="CX129" s="6">
        <f t="shared" si="810"/>
        <v>5.6666666666666671E-2</v>
      </c>
      <c r="CY129" s="6">
        <f t="shared" si="810"/>
        <v>6.0000000000000005E-2</v>
      </c>
      <c r="CZ129" s="6">
        <f t="shared" si="810"/>
        <v>6.3333333333333339E-2</v>
      </c>
      <c r="DA129" s="6">
        <f t="shared" si="810"/>
        <v>6.6666666666666666E-2</v>
      </c>
      <c r="DB129" s="6">
        <f t="shared" si="810"/>
        <v>7.0000000000000007E-2</v>
      </c>
      <c r="DC129" s="6">
        <f t="shared" si="810"/>
        <v>7.3333333333333334E-2</v>
      </c>
      <c r="DD129" s="6">
        <f t="shared" si="810"/>
        <v>7.6666666666666675E-2</v>
      </c>
      <c r="DE129" s="6">
        <f t="shared" si="810"/>
        <v>0.08</v>
      </c>
      <c r="DF129" s="6">
        <f t="shared" si="810"/>
        <v>8.3333333333333343E-2</v>
      </c>
      <c r="DG129" s="6">
        <f t="shared" si="810"/>
        <v>8.666666666666667E-2</v>
      </c>
      <c r="DH129" s="6">
        <f t="shared" si="810"/>
        <v>9.0000000000000011E-2</v>
      </c>
      <c r="DI129" s="6">
        <f t="shared" si="810"/>
        <v>9.3333333333333338E-2</v>
      </c>
      <c r="DJ129" s="6">
        <f t="shared" si="810"/>
        <v>9.6666666666666679E-2</v>
      </c>
      <c r="DK129" s="6">
        <f t="shared" si="810"/>
        <v>0.1</v>
      </c>
      <c r="DL129" s="4"/>
      <c r="DM129" s="8"/>
      <c r="DQ129" s="94"/>
      <c r="DR129" s="95"/>
      <c r="DS129" s="10"/>
      <c r="DT129" s="8"/>
      <c r="DU129" s="5">
        <v>0</v>
      </c>
      <c r="DV129" s="6">
        <f t="shared" ref="DV129:EY129" si="811">$B$5*(DV130-1)</f>
        <v>3.3333333333333335E-3</v>
      </c>
      <c r="DW129" s="6">
        <f t="shared" si="811"/>
        <v>6.6666666666666671E-3</v>
      </c>
      <c r="DX129" s="6">
        <f t="shared" si="811"/>
        <v>0.01</v>
      </c>
      <c r="DY129" s="6">
        <f t="shared" si="811"/>
        <v>1.3333333333333334E-2</v>
      </c>
      <c r="DZ129" s="6">
        <f t="shared" si="811"/>
        <v>1.6666666666666666E-2</v>
      </c>
      <c r="EA129" s="6">
        <f t="shared" si="811"/>
        <v>0.02</v>
      </c>
      <c r="EB129" s="6">
        <f t="shared" si="811"/>
        <v>2.3333333333333334E-2</v>
      </c>
      <c r="EC129" s="6">
        <f t="shared" si="811"/>
        <v>2.6666666666666668E-2</v>
      </c>
      <c r="ED129" s="6">
        <f t="shared" si="811"/>
        <v>3.0000000000000002E-2</v>
      </c>
      <c r="EE129" s="6">
        <f t="shared" si="811"/>
        <v>3.3333333333333333E-2</v>
      </c>
      <c r="EF129" s="6">
        <f t="shared" si="811"/>
        <v>3.6666666666666667E-2</v>
      </c>
      <c r="EG129" s="6">
        <f t="shared" si="811"/>
        <v>0.04</v>
      </c>
      <c r="EH129" s="6">
        <f t="shared" si="811"/>
        <v>4.3333333333333335E-2</v>
      </c>
      <c r="EI129" s="6">
        <f t="shared" si="811"/>
        <v>4.6666666666666669E-2</v>
      </c>
      <c r="EJ129" s="6">
        <f t="shared" si="811"/>
        <v>0.05</v>
      </c>
      <c r="EK129" s="6">
        <f t="shared" si="811"/>
        <v>5.3333333333333337E-2</v>
      </c>
      <c r="EL129" s="6">
        <f t="shared" si="811"/>
        <v>5.6666666666666671E-2</v>
      </c>
      <c r="EM129" s="6">
        <f t="shared" si="811"/>
        <v>6.0000000000000005E-2</v>
      </c>
      <c r="EN129" s="6">
        <f t="shared" si="811"/>
        <v>6.3333333333333339E-2</v>
      </c>
      <c r="EO129" s="6">
        <f t="shared" si="811"/>
        <v>6.6666666666666666E-2</v>
      </c>
      <c r="EP129" s="6">
        <f t="shared" si="811"/>
        <v>7.0000000000000007E-2</v>
      </c>
      <c r="EQ129" s="6">
        <f t="shared" si="811"/>
        <v>7.3333333333333334E-2</v>
      </c>
      <c r="ER129" s="6">
        <f t="shared" si="811"/>
        <v>7.6666666666666675E-2</v>
      </c>
      <c r="ES129" s="6">
        <f t="shared" si="811"/>
        <v>0.08</v>
      </c>
      <c r="ET129" s="6">
        <f t="shared" si="811"/>
        <v>8.3333333333333343E-2</v>
      </c>
      <c r="EU129" s="6">
        <f t="shared" si="811"/>
        <v>8.666666666666667E-2</v>
      </c>
      <c r="EV129" s="6">
        <f t="shared" si="811"/>
        <v>9.0000000000000011E-2</v>
      </c>
      <c r="EW129" s="6">
        <f t="shared" si="811"/>
        <v>9.3333333333333338E-2</v>
      </c>
      <c r="EX129" s="6">
        <f t="shared" si="811"/>
        <v>9.6666666666666679E-2</v>
      </c>
      <c r="EY129" s="6">
        <f t="shared" si="811"/>
        <v>0.1</v>
      </c>
      <c r="EZ129" s="4"/>
      <c r="FA129" s="8"/>
    </row>
    <row r="130" spans="3:157" ht="15" customHeight="1" x14ac:dyDescent="0.3">
      <c r="C130" s="94"/>
      <c r="D130" s="95"/>
      <c r="E130" s="11"/>
      <c r="F130" s="9"/>
      <c r="G130" s="17">
        <v>1</v>
      </c>
      <c r="H130" s="17">
        <v>2</v>
      </c>
      <c r="I130" s="17">
        <v>3</v>
      </c>
      <c r="J130" s="17">
        <v>4</v>
      </c>
      <c r="K130" s="17">
        <v>5</v>
      </c>
      <c r="L130" s="17">
        <v>6</v>
      </c>
      <c r="M130" s="17">
        <v>7</v>
      </c>
      <c r="N130" s="17">
        <v>8</v>
      </c>
      <c r="O130" s="17">
        <v>9</v>
      </c>
      <c r="P130" s="17">
        <v>10</v>
      </c>
      <c r="Q130" s="17">
        <v>11</v>
      </c>
      <c r="R130" s="17">
        <v>12</v>
      </c>
      <c r="S130" s="17">
        <v>13</v>
      </c>
      <c r="T130" s="17">
        <v>14</v>
      </c>
      <c r="U130" s="17">
        <v>15</v>
      </c>
      <c r="V130" s="17">
        <v>16</v>
      </c>
      <c r="W130" s="17">
        <v>17</v>
      </c>
      <c r="X130" s="17">
        <v>18</v>
      </c>
      <c r="Y130" s="17">
        <v>19</v>
      </c>
      <c r="Z130" s="17">
        <v>20</v>
      </c>
      <c r="AA130" s="17">
        <v>21</v>
      </c>
      <c r="AB130" s="17">
        <v>22</v>
      </c>
      <c r="AC130" s="17">
        <v>23</v>
      </c>
      <c r="AD130" s="17">
        <v>24</v>
      </c>
      <c r="AE130" s="17">
        <v>25</v>
      </c>
      <c r="AF130" s="17">
        <v>26</v>
      </c>
      <c r="AG130" s="17">
        <v>27</v>
      </c>
      <c r="AH130" s="17">
        <v>28</v>
      </c>
      <c r="AI130" s="17">
        <v>29</v>
      </c>
      <c r="AJ130" s="17">
        <v>30</v>
      </c>
      <c r="AK130" s="17">
        <v>31</v>
      </c>
      <c r="AL130" s="12"/>
      <c r="AM130" s="9"/>
      <c r="AP130" s="102"/>
      <c r="AQ130" s="101"/>
      <c r="AR130" s="11"/>
      <c r="AS130" s="9"/>
      <c r="AT130" s="17">
        <v>1</v>
      </c>
      <c r="AU130" s="17">
        <v>2</v>
      </c>
      <c r="AV130" s="17">
        <v>3</v>
      </c>
      <c r="AW130" s="17">
        <v>4</v>
      </c>
      <c r="AX130" s="17">
        <v>5</v>
      </c>
      <c r="AY130" s="17">
        <v>6</v>
      </c>
      <c r="AZ130" s="17">
        <v>7</v>
      </c>
      <c r="BA130" s="17">
        <v>8</v>
      </c>
      <c r="BB130" s="17">
        <v>9</v>
      </c>
      <c r="BC130" s="17">
        <v>10</v>
      </c>
      <c r="BD130" s="17">
        <v>11</v>
      </c>
      <c r="BE130" s="17">
        <v>12</v>
      </c>
      <c r="BF130" s="17">
        <v>13</v>
      </c>
      <c r="BG130" s="17">
        <v>14</v>
      </c>
      <c r="BH130" s="17">
        <v>15</v>
      </c>
      <c r="BI130" s="17">
        <v>16</v>
      </c>
      <c r="BJ130" s="17">
        <v>17</v>
      </c>
      <c r="BK130" s="17">
        <v>18</v>
      </c>
      <c r="BL130" s="17">
        <v>19</v>
      </c>
      <c r="BM130" s="17">
        <v>20</v>
      </c>
      <c r="BN130" s="17">
        <v>21</v>
      </c>
      <c r="BO130" s="17">
        <v>22</v>
      </c>
      <c r="BP130" s="17">
        <v>23</v>
      </c>
      <c r="BQ130" s="17">
        <v>24</v>
      </c>
      <c r="BR130" s="17">
        <v>25</v>
      </c>
      <c r="BS130" s="17">
        <v>26</v>
      </c>
      <c r="BT130" s="17">
        <v>27</v>
      </c>
      <c r="BU130" s="17">
        <v>28</v>
      </c>
      <c r="BV130" s="17">
        <v>29</v>
      </c>
      <c r="BW130" s="17">
        <v>30</v>
      </c>
      <c r="BX130" s="17">
        <v>31</v>
      </c>
      <c r="BY130" s="12"/>
      <c r="BZ130" s="9"/>
      <c r="CC130" s="94"/>
      <c r="CD130" s="95"/>
      <c r="CE130" s="11"/>
      <c r="CF130" s="9"/>
      <c r="CG130" s="17">
        <v>1</v>
      </c>
      <c r="CH130" s="17">
        <v>2</v>
      </c>
      <c r="CI130" s="17">
        <v>3</v>
      </c>
      <c r="CJ130" s="17">
        <v>4</v>
      </c>
      <c r="CK130" s="17">
        <v>5</v>
      </c>
      <c r="CL130" s="17">
        <v>6</v>
      </c>
      <c r="CM130" s="17">
        <v>7</v>
      </c>
      <c r="CN130" s="17">
        <v>8</v>
      </c>
      <c r="CO130" s="17">
        <v>9</v>
      </c>
      <c r="CP130" s="17">
        <v>10</v>
      </c>
      <c r="CQ130" s="17">
        <v>11</v>
      </c>
      <c r="CR130" s="17">
        <v>12</v>
      </c>
      <c r="CS130" s="17">
        <v>13</v>
      </c>
      <c r="CT130" s="17">
        <v>14</v>
      </c>
      <c r="CU130" s="17">
        <v>15</v>
      </c>
      <c r="CV130" s="17">
        <v>16</v>
      </c>
      <c r="CW130" s="17">
        <v>17</v>
      </c>
      <c r="CX130" s="17">
        <v>18</v>
      </c>
      <c r="CY130" s="17">
        <v>19</v>
      </c>
      <c r="CZ130" s="17">
        <v>20</v>
      </c>
      <c r="DA130" s="17">
        <v>21</v>
      </c>
      <c r="DB130" s="17">
        <v>22</v>
      </c>
      <c r="DC130" s="17">
        <v>23</v>
      </c>
      <c r="DD130" s="17">
        <v>24</v>
      </c>
      <c r="DE130" s="17">
        <v>25</v>
      </c>
      <c r="DF130" s="17">
        <v>26</v>
      </c>
      <c r="DG130" s="17">
        <v>27</v>
      </c>
      <c r="DH130" s="17">
        <v>28</v>
      </c>
      <c r="DI130" s="17">
        <v>29</v>
      </c>
      <c r="DJ130" s="17">
        <v>30</v>
      </c>
      <c r="DK130" s="17">
        <v>31</v>
      </c>
      <c r="DL130" s="12"/>
      <c r="DM130" s="9"/>
      <c r="DQ130" s="94"/>
      <c r="DR130" s="95"/>
      <c r="DS130" s="11"/>
      <c r="DT130" s="9"/>
      <c r="DU130" s="17">
        <v>1</v>
      </c>
      <c r="DV130" s="17">
        <v>2</v>
      </c>
      <c r="DW130" s="17">
        <v>3</v>
      </c>
      <c r="DX130" s="17">
        <v>4</v>
      </c>
      <c r="DY130" s="17">
        <v>5</v>
      </c>
      <c r="DZ130" s="17">
        <v>6</v>
      </c>
      <c r="EA130" s="17">
        <v>7</v>
      </c>
      <c r="EB130" s="17">
        <v>8</v>
      </c>
      <c r="EC130" s="17">
        <v>9</v>
      </c>
      <c r="ED130" s="17">
        <v>10</v>
      </c>
      <c r="EE130" s="17">
        <v>11</v>
      </c>
      <c r="EF130" s="17">
        <v>12</v>
      </c>
      <c r="EG130" s="17">
        <v>13</v>
      </c>
      <c r="EH130" s="17">
        <v>14</v>
      </c>
      <c r="EI130" s="17">
        <v>15</v>
      </c>
      <c r="EJ130" s="17">
        <v>16</v>
      </c>
      <c r="EK130" s="17">
        <v>17</v>
      </c>
      <c r="EL130" s="17">
        <v>18</v>
      </c>
      <c r="EM130" s="17">
        <v>19</v>
      </c>
      <c r="EN130" s="17">
        <v>20</v>
      </c>
      <c r="EO130" s="17">
        <v>21</v>
      </c>
      <c r="EP130" s="17">
        <v>22</v>
      </c>
      <c r="EQ130" s="17">
        <v>23</v>
      </c>
      <c r="ER130" s="17">
        <v>24</v>
      </c>
      <c r="ES130" s="17">
        <v>25</v>
      </c>
      <c r="ET130" s="17">
        <v>26</v>
      </c>
      <c r="EU130" s="17">
        <v>27</v>
      </c>
      <c r="EV130" s="17">
        <v>28</v>
      </c>
      <c r="EW130" s="17">
        <v>29</v>
      </c>
      <c r="EX130" s="17">
        <v>30</v>
      </c>
      <c r="EY130" s="17">
        <v>31</v>
      </c>
      <c r="EZ130" s="12"/>
      <c r="FA130" s="9"/>
    </row>
    <row r="131" spans="3:157" ht="15" customHeight="1" x14ac:dyDescent="0.3"/>
    <row r="132" spans="3:157" ht="15" customHeight="1" x14ac:dyDescent="0.3"/>
    <row r="133" spans="3:157" ht="15" customHeight="1" x14ac:dyDescent="0.3"/>
    <row r="134" spans="3:157" ht="15" customHeight="1" x14ac:dyDescent="0.3"/>
    <row r="135" spans="3:157" ht="15" customHeight="1" x14ac:dyDescent="0.3"/>
    <row r="136" spans="3:157" ht="15" customHeight="1" x14ac:dyDescent="0.3">
      <c r="C136" s="94" t="s">
        <v>24</v>
      </c>
      <c r="D136" s="95"/>
      <c r="E136" s="92" t="s">
        <v>20</v>
      </c>
      <c r="F136" s="93"/>
      <c r="G136" s="5">
        <v>1</v>
      </c>
      <c r="H136" s="5">
        <v>2</v>
      </c>
      <c r="I136" s="5">
        <v>3</v>
      </c>
      <c r="J136" s="5">
        <v>4</v>
      </c>
      <c r="K136" s="5">
        <v>5</v>
      </c>
      <c r="L136" s="5">
        <v>6</v>
      </c>
      <c r="M136" s="5">
        <v>7</v>
      </c>
      <c r="N136" s="5">
        <v>8</v>
      </c>
      <c r="O136" s="5">
        <v>9</v>
      </c>
      <c r="P136" s="5">
        <v>10</v>
      </c>
      <c r="Q136" s="5">
        <v>11</v>
      </c>
      <c r="R136" s="5">
        <v>12</v>
      </c>
      <c r="S136" s="5">
        <v>13</v>
      </c>
      <c r="T136" s="5">
        <v>14</v>
      </c>
      <c r="U136" s="5">
        <v>15</v>
      </c>
      <c r="V136" s="5">
        <v>16</v>
      </c>
      <c r="W136" s="5">
        <v>17</v>
      </c>
      <c r="X136" s="5">
        <v>18</v>
      </c>
      <c r="Y136" s="5">
        <v>19</v>
      </c>
      <c r="Z136" s="5">
        <v>20</v>
      </c>
      <c r="AA136" s="5">
        <v>21</v>
      </c>
      <c r="AB136" s="5">
        <v>22</v>
      </c>
      <c r="AC136" s="5">
        <v>23</v>
      </c>
      <c r="AD136" s="5">
        <v>24</v>
      </c>
      <c r="AE136" s="5">
        <v>25</v>
      </c>
      <c r="AF136" s="5">
        <v>26</v>
      </c>
      <c r="AG136" s="5">
        <v>27</v>
      </c>
      <c r="AH136" s="5">
        <v>28</v>
      </c>
      <c r="AI136" s="5">
        <v>29</v>
      </c>
      <c r="AJ136" s="5">
        <v>30</v>
      </c>
      <c r="AK136" s="5">
        <v>31</v>
      </c>
      <c r="AL136" s="4"/>
      <c r="AM136" s="13"/>
      <c r="AP136" s="94" t="s">
        <v>25</v>
      </c>
      <c r="AQ136" s="101"/>
      <c r="AR136" s="92" t="s">
        <v>20</v>
      </c>
      <c r="AS136" s="93"/>
      <c r="AT136" s="5">
        <v>1</v>
      </c>
      <c r="AU136" s="5">
        <v>2</v>
      </c>
      <c r="AV136" s="5">
        <v>3</v>
      </c>
      <c r="AW136" s="5">
        <v>4</v>
      </c>
      <c r="AX136" s="5">
        <v>5</v>
      </c>
      <c r="AY136" s="5">
        <v>6</v>
      </c>
      <c r="AZ136" s="5">
        <v>7</v>
      </c>
      <c r="BA136" s="5">
        <v>8</v>
      </c>
      <c r="BB136" s="5">
        <v>9</v>
      </c>
      <c r="BC136" s="5">
        <v>10</v>
      </c>
      <c r="BD136" s="5">
        <v>11</v>
      </c>
      <c r="BE136" s="5">
        <v>12</v>
      </c>
      <c r="BF136" s="5">
        <v>13</v>
      </c>
      <c r="BG136" s="5">
        <v>14</v>
      </c>
      <c r="BH136" s="5">
        <v>15</v>
      </c>
      <c r="BI136" s="5">
        <v>16</v>
      </c>
      <c r="BJ136" s="5">
        <v>17</v>
      </c>
      <c r="BK136" s="5">
        <v>18</v>
      </c>
      <c r="BL136" s="5">
        <v>19</v>
      </c>
      <c r="BM136" s="5">
        <v>20</v>
      </c>
      <c r="BN136" s="5">
        <v>21</v>
      </c>
      <c r="BO136" s="5">
        <v>22</v>
      </c>
      <c r="BP136" s="5">
        <v>23</v>
      </c>
      <c r="BQ136" s="5">
        <v>24</v>
      </c>
      <c r="BR136" s="5">
        <v>25</v>
      </c>
      <c r="BS136" s="5">
        <v>26</v>
      </c>
      <c r="BT136" s="5">
        <v>27</v>
      </c>
      <c r="BU136" s="5">
        <v>28</v>
      </c>
      <c r="BV136" s="5">
        <v>29</v>
      </c>
      <c r="BW136" s="5">
        <v>30</v>
      </c>
      <c r="BX136" s="5">
        <v>31</v>
      </c>
      <c r="BY136" s="4"/>
      <c r="BZ136" s="13"/>
      <c r="CC136" s="103" t="s">
        <v>26</v>
      </c>
      <c r="CD136" s="95"/>
      <c r="CE136" s="92" t="s">
        <v>20</v>
      </c>
      <c r="CF136" s="93"/>
      <c r="CG136" s="5">
        <v>1</v>
      </c>
      <c r="CH136" s="5">
        <v>2</v>
      </c>
      <c r="CI136" s="5">
        <v>3</v>
      </c>
      <c r="CJ136" s="5">
        <v>4</v>
      </c>
      <c r="CK136" s="5">
        <v>5</v>
      </c>
      <c r="CL136" s="5">
        <v>6</v>
      </c>
      <c r="CM136" s="5">
        <v>7</v>
      </c>
      <c r="CN136" s="5">
        <v>8</v>
      </c>
      <c r="CO136" s="5">
        <v>9</v>
      </c>
      <c r="CP136" s="5">
        <v>10</v>
      </c>
      <c r="CQ136" s="5">
        <v>11</v>
      </c>
      <c r="CR136" s="5">
        <v>12</v>
      </c>
      <c r="CS136" s="5">
        <v>13</v>
      </c>
      <c r="CT136" s="5">
        <v>14</v>
      </c>
      <c r="CU136" s="5">
        <v>15</v>
      </c>
      <c r="CV136" s="5">
        <v>16</v>
      </c>
      <c r="CW136" s="5">
        <v>17</v>
      </c>
      <c r="CX136" s="5">
        <v>18</v>
      </c>
      <c r="CY136" s="5">
        <v>19</v>
      </c>
      <c r="CZ136" s="5">
        <v>20</v>
      </c>
      <c r="DA136" s="5">
        <v>21</v>
      </c>
      <c r="DB136" s="5">
        <v>22</v>
      </c>
      <c r="DC136" s="5">
        <v>23</v>
      </c>
      <c r="DD136" s="5">
        <v>24</v>
      </c>
      <c r="DE136" s="5">
        <v>25</v>
      </c>
      <c r="DF136" s="5">
        <v>26</v>
      </c>
      <c r="DG136" s="5">
        <v>27</v>
      </c>
      <c r="DH136" s="5">
        <v>28</v>
      </c>
      <c r="DI136" s="5">
        <v>29</v>
      </c>
      <c r="DJ136" s="5">
        <v>30</v>
      </c>
      <c r="DK136" s="5">
        <v>31</v>
      </c>
      <c r="DL136" s="4"/>
      <c r="DM136" s="13"/>
      <c r="DQ136" s="103" t="s">
        <v>27</v>
      </c>
      <c r="DR136" s="95"/>
      <c r="DS136" s="92" t="s">
        <v>20</v>
      </c>
      <c r="DT136" s="93"/>
      <c r="DU136" s="5">
        <v>1</v>
      </c>
      <c r="DV136" s="5">
        <v>2</v>
      </c>
      <c r="DW136" s="5">
        <v>3</v>
      </c>
      <c r="DX136" s="5">
        <v>4</v>
      </c>
      <c r="DY136" s="5">
        <v>5</v>
      </c>
      <c r="DZ136" s="5">
        <v>6</v>
      </c>
      <c r="EA136" s="5">
        <v>7</v>
      </c>
      <c r="EB136" s="5">
        <v>8</v>
      </c>
      <c r="EC136" s="5">
        <v>9</v>
      </c>
      <c r="ED136" s="5">
        <v>10</v>
      </c>
      <c r="EE136" s="5">
        <v>11</v>
      </c>
      <c r="EF136" s="5">
        <v>12</v>
      </c>
      <c r="EG136" s="5">
        <v>13</v>
      </c>
      <c r="EH136" s="5">
        <v>14</v>
      </c>
      <c r="EI136" s="5">
        <v>15</v>
      </c>
      <c r="EJ136" s="5">
        <v>16</v>
      </c>
      <c r="EK136" s="5">
        <v>17</v>
      </c>
      <c r="EL136" s="5">
        <v>18</v>
      </c>
      <c r="EM136" s="5">
        <v>19</v>
      </c>
      <c r="EN136" s="5">
        <v>20</v>
      </c>
      <c r="EO136" s="5">
        <v>21</v>
      </c>
      <c r="EP136" s="5">
        <v>22</v>
      </c>
      <c r="EQ136" s="5">
        <v>23</v>
      </c>
      <c r="ER136" s="5">
        <v>24</v>
      </c>
      <c r="ES136" s="5">
        <v>25</v>
      </c>
      <c r="ET136" s="5">
        <v>26</v>
      </c>
      <c r="EU136" s="5">
        <v>27</v>
      </c>
      <c r="EV136" s="5">
        <v>28</v>
      </c>
      <c r="EW136" s="5">
        <v>29</v>
      </c>
      <c r="EX136" s="5">
        <v>30</v>
      </c>
      <c r="EY136" s="5">
        <v>31</v>
      </c>
      <c r="EZ136" s="4"/>
      <c r="FA136" s="13"/>
    </row>
    <row r="137" spans="3:157" x14ac:dyDescent="0.3">
      <c r="C137" s="94"/>
      <c r="D137" s="95"/>
      <c r="E137" s="92" t="s">
        <v>21</v>
      </c>
      <c r="F137" s="93"/>
      <c r="G137" s="5">
        <v>0</v>
      </c>
      <c r="H137" s="6">
        <f>$B$5*(H136-1)</f>
        <v>3.3333333333333335E-3</v>
      </c>
      <c r="I137" s="6">
        <f t="shared" ref="I137:AJ137" si="812">$B$5*(I136-1)</f>
        <v>6.6666666666666671E-3</v>
      </c>
      <c r="J137" s="6">
        <f t="shared" si="812"/>
        <v>0.01</v>
      </c>
      <c r="K137" s="6">
        <f t="shared" si="812"/>
        <v>1.3333333333333334E-2</v>
      </c>
      <c r="L137" s="6">
        <f t="shared" si="812"/>
        <v>1.6666666666666666E-2</v>
      </c>
      <c r="M137" s="6">
        <f t="shared" si="812"/>
        <v>0.02</v>
      </c>
      <c r="N137" s="6">
        <f t="shared" si="812"/>
        <v>2.3333333333333334E-2</v>
      </c>
      <c r="O137" s="6">
        <f t="shared" si="812"/>
        <v>2.6666666666666668E-2</v>
      </c>
      <c r="P137" s="6">
        <f t="shared" si="812"/>
        <v>3.0000000000000002E-2</v>
      </c>
      <c r="Q137" s="6">
        <f t="shared" si="812"/>
        <v>3.3333333333333333E-2</v>
      </c>
      <c r="R137" s="6">
        <f t="shared" si="812"/>
        <v>3.6666666666666667E-2</v>
      </c>
      <c r="S137" s="6">
        <f t="shared" si="812"/>
        <v>0.04</v>
      </c>
      <c r="T137" s="6">
        <f t="shared" si="812"/>
        <v>4.3333333333333335E-2</v>
      </c>
      <c r="U137" s="6">
        <f t="shared" si="812"/>
        <v>4.6666666666666669E-2</v>
      </c>
      <c r="V137" s="6">
        <f t="shared" si="812"/>
        <v>0.05</v>
      </c>
      <c r="W137" s="6">
        <f t="shared" si="812"/>
        <v>5.3333333333333337E-2</v>
      </c>
      <c r="X137" s="6">
        <f t="shared" si="812"/>
        <v>5.6666666666666671E-2</v>
      </c>
      <c r="Y137" s="6">
        <f t="shared" si="812"/>
        <v>6.0000000000000005E-2</v>
      </c>
      <c r="Z137" s="6">
        <f t="shared" si="812"/>
        <v>6.3333333333333339E-2</v>
      </c>
      <c r="AA137" s="6">
        <f t="shared" si="812"/>
        <v>6.6666666666666666E-2</v>
      </c>
      <c r="AB137" s="6">
        <f t="shared" si="812"/>
        <v>7.0000000000000007E-2</v>
      </c>
      <c r="AC137" s="6">
        <f t="shared" si="812"/>
        <v>7.3333333333333334E-2</v>
      </c>
      <c r="AD137" s="6">
        <f t="shared" si="812"/>
        <v>7.6666666666666675E-2</v>
      </c>
      <c r="AE137" s="6">
        <f t="shared" si="812"/>
        <v>0.08</v>
      </c>
      <c r="AF137" s="6">
        <f t="shared" si="812"/>
        <v>8.3333333333333343E-2</v>
      </c>
      <c r="AG137" s="6">
        <f t="shared" si="812"/>
        <v>8.666666666666667E-2</v>
      </c>
      <c r="AH137" s="6">
        <f t="shared" si="812"/>
        <v>9.0000000000000011E-2</v>
      </c>
      <c r="AI137" s="6">
        <f t="shared" si="812"/>
        <v>9.3333333333333338E-2</v>
      </c>
      <c r="AJ137" s="6">
        <f t="shared" si="812"/>
        <v>9.6666666666666679E-2</v>
      </c>
      <c r="AK137" s="6">
        <f>$B$5*(AK136-1)</f>
        <v>0.1</v>
      </c>
      <c r="AL137" s="4"/>
      <c r="AM137" s="14"/>
      <c r="AP137" s="102"/>
      <c r="AQ137" s="101"/>
      <c r="AR137" s="92" t="s">
        <v>21</v>
      </c>
      <c r="AS137" s="93"/>
      <c r="AT137" s="5">
        <v>0</v>
      </c>
      <c r="AU137" s="6">
        <f>$B$5*(AU136-1)</f>
        <v>3.3333333333333335E-3</v>
      </c>
      <c r="AV137" s="6">
        <f t="shared" ref="AV137:BW137" si="813">$B$5*(AV136-1)</f>
        <v>6.6666666666666671E-3</v>
      </c>
      <c r="AW137" s="6">
        <f t="shared" si="813"/>
        <v>0.01</v>
      </c>
      <c r="AX137" s="6">
        <f t="shared" si="813"/>
        <v>1.3333333333333334E-2</v>
      </c>
      <c r="AY137" s="6">
        <f t="shared" si="813"/>
        <v>1.6666666666666666E-2</v>
      </c>
      <c r="AZ137" s="6">
        <f t="shared" si="813"/>
        <v>0.02</v>
      </c>
      <c r="BA137" s="6">
        <f t="shared" si="813"/>
        <v>2.3333333333333334E-2</v>
      </c>
      <c r="BB137" s="6">
        <f t="shared" si="813"/>
        <v>2.6666666666666668E-2</v>
      </c>
      <c r="BC137" s="6">
        <f t="shared" si="813"/>
        <v>3.0000000000000002E-2</v>
      </c>
      <c r="BD137" s="6">
        <f t="shared" si="813"/>
        <v>3.3333333333333333E-2</v>
      </c>
      <c r="BE137" s="6">
        <f t="shared" si="813"/>
        <v>3.6666666666666667E-2</v>
      </c>
      <c r="BF137" s="6">
        <f t="shared" si="813"/>
        <v>0.04</v>
      </c>
      <c r="BG137" s="6">
        <f t="shared" si="813"/>
        <v>4.3333333333333335E-2</v>
      </c>
      <c r="BH137" s="6">
        <f t="shared" si="813"/>
        <v>4.6666666666666669E-2</v>
      </c>
      <c r="BI137" s="6">
        <f t="shared" si="813"/>
        <v>0.05</v>
      </c>
      <c r="BJ137" s="6">
        <f t="shared" si="813"/>
        <v>5.3333333333333337E-2</v>
      </c>
      <c r="BK137" s="6">
        <f t="shared" si="813"/>
        <v>5.6666666666666671E-2</v>
      </c>
      <c r="BL137" s="6">
        <f t="shared" si="813"/>
        <v>6.0000000000000005E-2</v>
      </c>
      <c r="BM137" s="6">
        <f t="shared" si="813"/>
        <v>6.3333333333333339E-2</v>
      </c>
      <c r="BN137" s="6">
        <f t="shared" si="813"/>
        <v>6.6666666666666666E-2</v>
      </c>
      <c r="BO137" s="6">
        <f t="shared" si="813"/>
        <v>7.0000000000000007E-2</v>
      </c>
      <c r="BP137" s="6">
        <f t="shared" si="813"/>
        <v>7.3333333333333334E-2</v>
      </c>
      <c r="BQ137" s="6">
        <f t="shared" si="813"/>
        <v>7.6666666666666675E-2</v>
      </c>
      <c r="BR137" s="6">
        <f t="shared" si="813"/>
        <v>0.08</v>
      </c>
      <c r="BS137" s="6">
        <f t="shared" si="813"/>
        <v>8.3333333333333343E-2</v>
      </c>
      <c r="BT137" s="6">
        <f t="shared" si="813"/>
        <v>8.666666666666667E-2</v>
      </c>
      <c r="BU137" s="6">
        <f t="shared" si="813"/>
        <v>9.0000000000000011E-2</v>
      </c>
      <c r="BV137" s="6">
        <f t="shared" si="813"/>
        <v>9.3333333333333338E-2</v>
      </c>
      <c r="BW137" s="6">
        <f t="shared" si="813"/>
        <v>9.6666666666666679E-2</v>
      </c>
      <c r="BX137" s="6">
        <f>$B$5*(BX136-1)</f>
        <v>0.1</v>
      </c>
      <c r="BY137" s="4"/>
      <c r="BZ137" s="14"/>
      <c r="CC137" s="94"/>
      <c r="CD137" s="95"/>
      <c r="CE137" s="92" t="s">
        <v>21</v>
      </c>
      <c r="CF137" s="93"/>
      <c r="CG137" s="5">
        <v>0</v>
      </c>
      <c r="CH137" s="6">
        <f>$B$5*(CH136-1)</f>
        <v>3.3333333333333335E-3</v>
      </c>
      <c r="CI137" s="6">
        <f t="shared" ref="CI137:DJ137" si="814">$B$5*(CI136-1)</f>
        <v>6.6666666666666671E-3</v>
      </c>
      <c r="CJ137" s="6">
        <f t="shared" si="814"/>
        <v>0.01</v>
      </c>
      <c r="CK137" s="6">
        <f t="shared" si="814"/>
        <v>1.3333333333333334E-2</v>
      </c>
      <c r="CL137" s="6">
        <f t="shared" si="814"/>
        <v>1.6666666666666666E-2</v>
      </c>
      <c r="CM137" s="6">
        <f t="shared" si="814"/>
        <v>0.02</v>
      </c>
      <c r="CN137" s="6">
        <f t="shared" si="814"/>
        <v>2.3333333333333334E-2</v>
      </c>
      <c r="CO137" s="6">
        <f t="shared" si="814"/>
        <v>2.6666666666666668E-2</v>
      </c>
      <c r="CP137" s="6">
        <f t="shared" si="814"/>
        <v>3.0000000000000002E-2</v>
      </c>
      <c r="CQ137" s="6">
        <f t="shared" si="814"/>
        <v>3.3333333333333333E-2</v>
      </c>
      <c r="CR137" s="6">
        <f t="shared" si="814"/>
        <v>3.6666666666666667E-2</v>
      </c>
      <c r="CS137" s="6">
        <f t="shared" si="814"/>
        <v>0.04</v>
      </c>
      <c r="CT137" s="6">
        <f t="shared" si="814"/>
        <v>4.3333333333333335E-2</v>
      </c>
      <c r="CU137" s="6">
        <f t="shared" si="814"/>
        <v>4.6666666666666669E-2</v>
      </c>
      <c r="CV137" s="6">
        <f t="shared" si="814"/>
        <v>0.05</v>
      </c>
      <c r="CW137" s="6">
        <f t="shared" si="814"/>
        <v>5.3333333333333337E-2</v>
      </c>
      <c r="CX137" s="6">
        <f t="shared" si="814"/>
        <v>5.6666666666666671E-2</v>
      </c>
      <c r="CY137" s="6">
        <f t="shared" si="814"/>
        <v>6.0000000000000005E-2</v>
      </c>
      <c r="CZ137" s="6">
        <f t="shared" si="814"/>
        <v>6.3333333333333339E-2</v>
      </c>
      <c r="DA137" s="6">
        <f t="shared" si="814"/>
        <v>6.6666666666666666E-2</v>
      </c>
      <c r="DB137" s="6">
        <f t="shared" si="814"/>
        <v>7.0000000000000007E-2</v>
      </c>
      <c r="DC137" s="6">
        <f t="shared" si="814"/>
        <v>7.3333333333333334E-2</v>
      </c>
      <c r="DD137" s="6">
        <f t="shared" si="814"/>
        <v>7.6666666666666675E-2</v>
      </c>
      <c r="DE137" s="6">
        <f t="shared" si="814"/>
        <v>0.08</v>
      </c>
      <c r="DF137" s="6">
        <f t="shared" si="814"/>
        <v>8.3333333333333343E-2</v>
      </c>
      <c r="DG137" s="6">
        <f t="shared" si="814"/>
        <v>8.666666666666667E-2</v>
      </c>
      <c r="DH137" s="6">
        <f t="shared" si="814"/>
        <v>9.0000000000000011E-2</v>
      </c>
      <c r="DI137" s="6">
        <f t="shared" si="814"/>
        <v>9.3333333333333338E-2</v>
      </c>
      <c r="DJ137" s="6">
        <f t="shared" si="814"/>
        <v>9.6666666666666679E-2</v>
      </c>
      <c r="DK137" s="6">
        <f>$B$5*(DK136-1)</f>
        <v>0.1</v>
      </c>
      <c r="DL137" s="4"/>
      <c r="DM137" s="14"/>
      <c r="DQ137" s="94"/>
      <c r="DR137" s="95"/>
      <c r="DS137" s="92" t="s">
        <v>21</v>
      </c>
      <c r="DT137" s="93"/>
      <c r="DU137" s="5">
        <v>0</v>
      </c>
      <c r="DV137" s="6">
        <f>$B$5*(DV136-1)</f>
        <v>3.3333333333333335E-3</v>
      </c>
      <c r="DW137" s="6">
        <f t="shared" ref="DW137:EX137" si="815">$B$5*(DW136-1)</f>
        <v>6.6666666666666671E-3</v>
      </c>
      <c r="DX137" s="6">
        <f t="shared" si="815"/>
        <v>0.01</v>
      </c>
      <c r="DY137" s="6">
        <f t="shared" si="815"/>
        <v>1.3333333333333334E-2</v>
      </c>
      <c r="DZ137" s="6">
        <f t="shared" si="815"/>
        <v>1.6666666666666666E-2</v>
      </c>
      <c r="EA137" s="6">
        <f t="shared" si="815"/>
        <v>0.02</v>
      </c>
      <c r="EB137" s="6">
        <f t="shared" si="815"/>
        <v>2.3333333333333334E-2</v>
      </c>
      <c r="EC137" s="6">
        <f t="shared" si="815"/>
        <v>2.6666666666666668E-2</v>
      </c>
      <c r="ED137" s="6">
        <f t="shared" si="815"/>
        <v>3.0000000000000002E-2</v>
      </c>
      <c r="EE137" s="6">
        <f t="shared" si="815"/>
        <v>3.3333333333333333E-2</v>
      </c>
      <c r="EF137" s="6">
        <f t="shared" si="815"/>
        <v>3.6666666666666667E-2</v>
      </c>
      <c r="EG137" s="6">
        <f t="shared" si="815"/>
        <v>0.04</v>
      </c>
      <c r="EH137" s="6">
        <f t="shared" si="815"/>
        <v>4.3333333333333335E-2</v>
      </c>
      <c r="EI137" s="6">
        <f t="shared" si="815"/>
        <v>4.6666666666666669E-2</v>
      </c>
      <c r="EJ137" s="6">
        <f t="shared" si="815"/>
        <v>0.05</v>
      </c>
      <c r="EK137" s="6">
        <f t="shared" si="815"/>
        <v>5.3333333333333337E-2</v>
      </c>
      <c r="EL137" s="6">
        <f t="shared" si="815"/>
        <v>5.6666666666666671E-2</v>
      </c>
      <c r="EM137" s="6">
        <f t="shared" si="815"/>
        <v>6.0000000000000005E-2</v>
      </c>
      <c r="EN137" s="6">
        <f t="shared" si="815"/>
        <v>6.3333333333333339E-2</v>
      </c>
      <c r="EO137" s="6">
        <f t="shared" si="815"/>
        <v>6.6666666666666666E-2</v>
      </c>
      <c r="EP137" s="6">
        <f t="shared" si="815"/>
        <v>7.0000000000000007E-2</v>
      </c>
      <c r="EQ137" s="6">
        <f t="shared" si="815"/>
        <v>7.3333333333333334E-2</v>
      </c>
      <c r="ER137" s="6">
        <f t="shared" si="815"/>
        <v>7.6666666666666675E-2</v>
      </c>
      <c r="ES137" s="6">
        <f t="shared" si="815"/>
        <v>0.08</v>
      </c>
      <c r="ET137" s="6">
        <f t="shared" si="815"/>
        <v>8.3333333333333343E-2</v>
      </c>
      <c r="EU137" s="6">
        <f t="shared" si="815"/>
        <v>8.666666666666667E-2</v>
      </c>
      <c r="EV137" s="6">
        <f t="shared" si="815"/>
        <v>9.0000000000000011E-2</v>
      </c>
      <c r="EW137" s="6">
        <f t="shared" si="815"/>
        <v>9.3333333333333338E-2</v>
      </c>
      <c r="EX137" s="6">
        <f t="shared" si="815"/>
        <v>9.6666666666666679E-2</v>
      </c>
      <c r="EY137" s="6">
        <f>$B$5*(EY136-1)</f>
        <v>0.1</v>
      </c>
      <c r="EZ137" s="4"/>
      <c r="FA137" s="14"/>
    </row>
    <row r="138" spans="3:157" x14ac:dyDescent="0.3">
      <c r="C138" s="94"/>
      <c r="D138" s="95"/>
      <c r="E138" s="5">
        <v>55</v>
      </c>
      <c r="F138" s="6">
        <f t="shared" ref="F138:F161" si="816">$B$6*(E138-1)</f>
        <v>0.5</v>
      </c>
      <c r="G138" s="3">
        <f t="shared" ref="G138:O147" si="817">$R$2</f>
        <v>600</v>
      </c>
      <c r="H138" s="3">
        <f t="shared" si="817"/>
        <v>600</v>
      </c>
      <c r="I138" s="3">
        <f t="shared" si="817"/>
        <v>600</v>
      </c>
      <c r="J138" s="3">
        <f t="shared" si="817"/>
        <v>600</v>
      </c>
      <c r="K138" s="3">
        <f t="shared" si="817"/>
        <v>600</v>
      </c>
      <c r="L138" s="3">
        <f t="shared" si="817"/>
        <v>600</v>
      </c>
      <c r="M138" s="3">
        <f t="shared" si="817"/>
        <v>600</v>
      </c>
      <c r="N138" s="3">
        <f t="shared" si="817"/>
        <v>600</v>
      </c>
      <c r="O138" s="3">
        <f t="shared" si="817"/>
        <v>600</v>
      </c>
      <c r="P138" s="3">
        <f t="shared" ref="P138:AB138" si="818">$R$4</f>
        <v>950</v>
      </c>
      <c r="Q138" s="3">
        <f t="shared" si="818"/>
        <v>950</v>
      </c>
      <c r="R138" s="3">
        <f t="shared" si="818"/>
        <v>950</v>
      </c>
      <c r="S138" s="3">
        <f t="shared" si="818"/>
        <v>950</v>
      </c>
      <c r="T138" s="3">
        <f t="shared" si="818"/>
        <v>950</v>
      </c>
      <c r="U138" s="3">
        <f t="shared" si="818"/>
        <v>950</v>
      </c>
      <c r="V138" s="3">
        <f t="shared" si="818"/>
        <v>950</v>
      </c>
      <c r="W138" s="3">
        <f t="shared" si="818"/>
        <v>950</v>
      </c>
      <c r="X138" s="3">
        <f t="shared" si="818"/>
        <v>950</v>
      </c>
      <c r="Y138" s="3">
        <f t="shared" si="818"/>
        <v>950</v>
      </c>
      <c r="Z138" s="3">
        <f t="shared" si="818"/>
        <v>950</v>
      </c>
      <c r="AA138" s="3">
        <f t="shared" si="818"/>
        <v>950</v>
      </c>
      <c r="AB138" s="3">
        <f t="shared" si="818"/>
        <v>950</v>
      </c>
      <c r="AC138" s="3">
        <f t="shared" ref="AC138:AK147" si="819">$R$3</f>
        <v>650</v>
      </c>
      <c r="AD138" s="3">
        <f t="shared" si="819"/>
        <v>650</v>
      </c>
      <c r="AE138" s="3">
        <f t="shared" si="819"/>
        <v>650</v>
      </c>
      <c r="AF138" s="3">
        <f t="shared" si="819"/>
        <v>650</v>
      </c>
      <c r="AG138" s="3">
        <f t="shared" si="819"/>
        <v>650</v>
      </c>
      <c r="AH138" s="3">
        <f t="shared" si="819"/>
        <v>650</v>
      </c>
      <c r="AI138" s="3">
        <f t="shared" si="819"/>
        <v>650</v>
      </c>
      <c r="AJ138" s="3">
        <f t="shared" si="819"/>
        <v>650</v>
      </c>
      <c r="AK138" s="3">
        <f t="shared" si="819"/>
        <v>650</v>
      </c>
      <c r="AL138" s="5">
        <v>55</v>
      </c>
      <c r="AM138" s="6">
        <f t="shared" ref="AM138:AM161" si="820">$B$6*(AL138-1)</f>
        <v>0.5</v>
      </c>
      <c r="AP138" s="102"/>
      <c r="AQ138" s="101"/>
      <c r="AR138" s="5">
        <v>55</v>
      </c>
      <c r="AS138" s="6">
        <f t="shared" ref="AS138:AS161" si="821">$B$6*(AR138-1)</f>
        <v>0.5</v>
      </c>
      <c r="AT138" s="3">
        <f t="shared" ref="AT138:BB147" si="822">$R$2</f>
        <v>600</v>
      </c>
      <c r="AU138" s="3">
        <f t="shared" si="822"/>
        <v>600</v>
      </c>
      <c r="AV138" s="3">
        <f t="shared" si="822"/>
        <v>600</v>
      </c>
      <c r="AW138" s="3">
        <f t="shared" si="822"/>
        <v>600</v>
      </c>
      <c r="AX138" s="3">
        <f t="shared" si="822"/>
        <v>600</v>
      </c>
      <c r="AY138" s="3">
        <f t="shared" si="822"/>
        <v>600</v>
      </c>
      <c r="AZ138" s="3">
        <f t="shared" si="822"/>
        <v>600</v>
      </c>
      <c r="BA138" s="3">
        <f t="shared" si="822"/>
        <v>600</v>
      </c>
      <c r="BB138" s="3">
        <f t="shared" si="822"/>
        <v>600</v>
      </c>
      <c r="BC138" s="3">
        <f>-($F$3*$F$2)/$B$8*P74</f>
        <v>-3408600000</v>
      </c>
      <c r="BD138" s="3">
        <f t="shared" ref="BD138" si="823">-($F$3*$F$2)/$B$8*Q74</f>
        <v>-3408600000</v>
      </c>
      <c r="BE138" s="3">
        <f t="shared" ref="BE138" si="824">-($F$3*$F$2)/$B$8*R74</f>
        <v>-3408600000</v>
      </c>
      <c r="BF138" s="3">
        <f t="shared" ref="BF138" si="825">-($F$3*$F$2)/$B$8*S74</f>
        <v>-3408600000</v>
      </c>
      <c r="BG138" s="3">
        <f t="shared" ref="BG138" si="826">-($F$3*$F$2)/$B$8*T74</f>
        <v>-3408600000</v>
      </c>
      <c r="BH138" s="3">
        <f t="shared" ref="BH138" si="827">-($F$3*$F$2)/$B$8*U74</f>
        <v>-3408600000</v>
      </c>
      <c r="BI138" s="3">
        <f t="shared" ref="BI138" si="828">-($F$3*$F$2)/$B$8*V74</f>
        <v>-3408600000</v>
      </c>
      <c r="BJ138" s="3">
        <f t="shared" ref="BJ138" si="829">-($F$3*$F$2)/$B$8*W74</f>
        <v>-3408600000</v>
      </c>
      <c r="BK138" s="3">
        <f t="shared" ref="BK138" si="830">-($F$3*$F$2)/$B$8*X74</f>
        <v>-3408600000</v>
      </c>
      <c r="BL138" s="3">
        <f t="shared" ref="BL138" si="831">-($F$3*$F$2)/$B$8*Y74</f>
        <v>-3408600000</v>
      </c>
      <c r="BM138" s="3">
        <f t="shared" ref="BM138" si="832">-($F$3*$F$2)/$B$8*Z74</f>
        <v>-3408600000</v>
      </c>
      <c r="BN138" s="3">
        <f t="shared" ref="BN138" si="833">-($F$3*$F$2)/$B$8*AA74</f>
        <v>-3408600000</v>
      </c>
      <c r="BO138" s="3">
        <f t="shared" ref="BO138" si="834">-($F$3*$F$2)/$B$8*AB74</f>
        <v>-3408600000</v>
      </c>
      <c r="BP138" s="3">
        <f t="shared" ref="BP138:BX147" si="835">$R$3</f>
        <v>650</v>
      </c>
      <c r="BQ138" s="3">
        <f t="shared" si="835"/>
        <v>650</v>
      </c>
      <c r="BR138" s="3">
        <f t="shared" si="835"/>
        <v>650</v>
      </c>
      <c r="BS138" s="3">
        <f t="shared" si="835"/>
        <v>650</v>
      </c>
      <c r="BT138" s="3">
        <f t="shared" si="835"/>
        <v>650</v>
      </c>
      <c r="BU138" s="3">
        <f t="shared" si="835"/>
        <v>650</v>
      </c>
      <c r="BV138" s="3">
        <f t="shared" si="835"/>
        <v>650</v>
      </c>
      <c r="BW138" s="3">
        <f t="shared" si="835"/>
        <v>650</v>
      </c>
      <c r="BX138" s="3">
        <f t="shared" si="835"/>
        <v>650</v>
      </c>
      <c r="BY138" s="5">
        <v>55</v>
      </c>
      <c r="BZ138" s="6">
        <f t="shared" ref="BZ138:BZ161" si="836">$B$6*(BY138-1)</f>
        <v>0.5</v>
      </c>
      <c r="CC138" s="94"/>
      <c r="CD138" s="95"/>
      <c r="CE138" s="5">
        <v>55</v>
      </c>
      <c r="CF138" s="6">
        <f t="shared" ref="CF138:CF161" si="837">$B$6*(CE138-1)</f>
        <v>0.5</v>
      </c>
      <c r="CG138" s="3">
        <f t="shared" ref="CG138:CO147" si="838">$R$2</f>
        <v>600</v>
      </c>
      <c r="CH138" s="3">
        <f t="shared" si="838"/>
        <v>600</v>
      </c>
      <c r="CI138" s="3">
        <f t="shared" si="838"/>
        <v>600</v>
      </c>
      <c r="CJ138" s="3">
        <f t="shared" si="838"/>
        <v>600</v>
      </c>
      <c r="CK138" s="3">
        <f t="shared" si="838"/>
        <v>600</v>
      </c>
      <c r="CL138" s="3">
        <f t="shared" si="838"/>
        <v>600</v>
      </c>
      <c r="CM138" s="3">
        <f t="shared" si="838"/>
        <v>600</v>
      </c>
      <c r="CN138" s="3">
        <f t="shared" si="838"/>
        <v>600</v>
      </c>
      <c r="CO138" s="3">
        <f t="shared" si="838"/>
        <v>600</v>
      </c>
      <c r="CP138" s="3">
        <v>0</v>
      </c>
      <c r="CQ138" s="3">
        <v>0</v>
      </c>
      <c r="CR138" s="3">
        <v>0</v>
      </c>
      <c r="CS138" s="3">
        <v>0</v>
      </c>
      <c r="CT138" s="3">
        <v>0</v>
      </c>
      <c r="CU138" s="3">
        <v>0</v>
      </c>
      <c r="CV138" s="3">
        <v>0</v>
      </c>
      <c r="CW138" s="3">
        <v>0</v>
      </c>
      <c r="CX138" s="3">
        <v>0</v>
      </c>
      <c r="CY138" s="3">
        <v>0</v>
      </c>
      <c r="CZ138" s="3">
        <v>0</v>
      </c>
      <c r="DA138" s="3">
        <v>0</v>
      </c>
      <c r="DB138" s="3">
        <v>0</v>
      </c>
      <c r="DC138" s="3">
        <f t="shared" ref="DC138:DK147" si="839">$R$3</f>
        <v>650</v>
      </c>
      <c r="DD138" s="3">
        <f t="shared" si="839"/>
        <v>650</v>
      </c>
      <c r="DE138" s="3">
        <f t="shared" si="839"/>
        <v>650</v>
      </c>
      <c r="DF138" s="3">
        <f t="shared" si="839"/>
        <v>650</v>
      </c>
      <c r="DG138" s="3">
        <f t="shared" si="839"/>
        <v>650</v>
      </c>
      <c r="DH138" s="3">
        <f t="shared" si="839"/>
        <v>650</v>
      </c>
      <c r="DI138" s="3">
        <f t="shared" si="839"/>
        <v>650</v>
      </c>
      <c r="DJ138" s="3">
        <f t="shared" si="839"/>
        <v>650</v>
      </c>
      <c r="DK138" s="3">
        <f t="shared" si="839"/>
        <v>650</v>
      </c>
      <c r="DL138" s="5">
        <v>55</v>
      </c>
      <c r="DM138" s="6">
        <f t="shared" ref="DM138:DM161" si="840">$B$6*(DL138-1)</f>
        <v>0.5</v>
      </c>
      <c r="DQ138" s="94"/>
      <c r="DR138" s="95"/>
      <c r="DS138" s="5">
        <v>55</v>
      </c>
      <c r="DT138" s="6">
        <f t="shared" ref="DT138:DT161" si="841">$B$6*(DS138-1)</f>
        <v>0.5</v>
      </c>
      <c r="DU138" s="3">
        <f t="shared" ref="DU138:EC147" si="842">$R$2</f>
        <v>600</v>
      </c>
      <c r="DV138" s="3">
        <f t="shared" si="842"/>
        <v>600</v>
      </c>
      <c r="DW138" s="3">
        <f t="shared" si="842"/>
        <v>600</v>
      </c>
      <c r="DX138" s="3">
        <f t="shared" si="842"/>
        <v>600</v>
      </c>
      <c r="DY138" s="3">
        <f t="shared" si="842"/>
        <v>600</v>
      </c>
      <c r="DZ138" s="3">
        <f t="shared" si="842"/>
        <v>600</v>
      </c>
      <c r="EA138" s="3">
        <f t="shared" si="842"/>
        <v>600</v>
      </c>
      <c r="EB138" s="3">
        <f t="shared" si="842"/>
        <v>600</v>
      </c>
      <c r="EC138" s="3">
        <f t="shared" si="842"/>
        <v>600</v>
      </c>
      <c r="ED138" s="3">
        <f t="shared" ref="ED138:EP138" si="843">$R$4</f>
        <v>950</v>
      </c>
      <c r="EE138" s="3">
        <f t="shared" si="843"/>
        <v>950</v>
      </c>
      <c r="EF138" s="3">
        <f t="shared" si="843"/>
        <v>950</v>
      </c>
      <c r="EG138" s="3">
        <f t="shared" si="843"/>
        <v>950</v>
      </c>
      <c r="EH138" s="3">
        <f t="shared" si="843"/>
        <v>950</v>
      </c>
      <c r="EI138" s="3">
        <f t="shared" si="843"/>
        <v>950</v>
      </c>
      <c r="EJ138" s="3">
        <f t="shared" si="843"/>
        <v>950</v>
      </c>
      <c r="EK138" s="3">
        <f t="shared" si="843"/>
        <v>950</v>
      </c>
      <c r="EL138" s="3">
        <f t="shared" si="843"/>
        <v>950</v>
      </c>
      <c r="EM138" s="3">
        <f t="shared" si="843"/>
        <v>950</v>
      </c>
      <c r="EN138" s="3">
        <f t="shared" si="843"/>
        <v>950</v>
      </c>
      <c r="EO138" s="3">
        <f t="shared" si="843"/>
        <v>950</v>
      </c>
      <c r="EP138" s="3">
        <f t="shared" si="843"/>
        <v>950</v>
      </c>
      <c r="EQ138" s="3">
        <f t="shared" ref="EQ138:EY147" si="844">$R$3</f>
        <v>650</v>
      </c>
      <c r="ER138" s="3">
        <f t="shared" si="844"/>
        <v>650</v>
      </c>
      <c r="ES138" s="3">
        <f t="shared" si="844"/>
        <v>650</v>
      </c>
      <c r="ET138" s="3">
        <f t="shared" si="844"/>
        <v>650</v>
      </c>
      <c r="EU138" s="3">
        <f t="shared" si="844"/>
        <v>650</v>
      </c>
      <c r="EV138" s="3">
        <f t="shared" si="844"/>
        <v>650</v>
      </c>
      <c r="EW138" s="3">
        <f t="shared" si="844"/>
        <v>650</v>
      </c>
      <c r="EX138" s="3">
        <f t="shared" si="844"/>
        <v>650</v>
      </c>
      <c r="EY138" s="3">
        <f t="shared" si="844"/>
        <v>650</v>
      </c>
      <c r="EZ138" s="5">
        <v>55</v>
      </c>
      <c r="FA138" s="6">
        <f t="shared" ref="FA138:FA161" si="845">$B$6*(EZ138-1)</f>
        <v>0.5</v>
      </c>
    </row>
    <row r="139" spans="3:157" x14ac:dyDescent="0.3">
      <c r="C139" s="94"/>
      <c r="D139" s="95"/>
      <c r="E139" s="5">
        <v>54</v>
      </c>
      <c r="F139" s="6">
        <f t="shared" si="816"/>
        <v>0.4907407407407407</v>
      </c>
      <c r="G139" s="3">
        <f t="shared" si="817"/>
        <v>600</v>
      </c>
      <c r="H139" s="3">
        <f t="shared" si="817"/>
        <v>600</v>
      </c>
      <c r="I139" s="3">
        <f t="shared" si="817"/>
        <v>600</v>
      </c>
      <c r="J139" s="3">
        <f t="shared" si="817"/>
        <v>600</v>
      </c>
      <c r="K139" s="3">
        <f t="shared" si="817"/>
        <v>600</v>
      </c>
      <c r="L139" s="3">
        <f t="shared" si="817"/>
        <v>600</v>
      </c>
      <c r="M139" s="3">
        <f t="shared" si="817"/>
        <v>600</v>
      </c>
      <c r="N139" s="3">
        <f t="shared" si="817"/>
        <v>600</v>
      </c>
      <c r="O139" s="3">
        <f t="shared" si="817"/>
        <v>600</v>
      </c>
      <c r="P139" s="3">
        <f>CP139*P140+ED139</f>
        <v>860.25679470657133</v>
      </c>
      <c r="Q139" s="3">
        <f t="shared" ref="Q139:AB139" si="846">CQ139*Q140+EE139</f>
        <v>869.90976897789869</v>
      </c>
      <c r="R139" s="3">
        <f t="shared" si="846"/>
        <v>876.96557649415001</v>
      </c>
      <c r="S139" s="3">
        <f t="shared" si="846"/>
        <v>882.07111488138071</v>
      </c>
      <c r="T139" s="3">
        <f t="shared" si="846"/>
        <v>885.67524693451287</v>
      </c>
      <c r="U139" s="3">
        <f t="shared" si="846"/>
        <v>888.06813655540168</v>
      </c>
      <c r="V139" s="3">
        <f t="shared" si="846"/>
        <v>889.42481094564039</v>
      </c>
      <c r="W139" s="3">
        <f t="shared" si="846"/>
        <v>889.83040194498005</v>
      </c>
      <c r="X139" s="3">
        <f t="shared" si="846"/>
        <v>889.29174668387327</v>
      </c>
      <c r="Y139" s="3">
        <f t="shared" si="846"/>
        <v>887.73750497895571</v>
      </c>
      <c r="Z139" s="3">
        <f t="shared" si="846"/>
        <v>885.00669017803637</v>
      </c>
      <c r="AA139" s="3">
        <f t="shared" si="846"/>
        <v>880.82343984869817</v>
      </c>
      <c r="AB139" s="3">
        <f t="shared" si="846"/>
        <v>874.78689373532063</v>
      </c>
      <c r="AC139" s="3">
        <f t="shared" si="819"/>
        <v>650</v>
      </c>
      <c r="AD139" s="3">
        <f t="shared" si="819"/>
        <v>650</v>
      </c>
      <c r="AE139" s="3">
        <f t="shared" si="819"/>
        <v>650</v>
      </c>
      <c r="AF139" s="3">
        <f t="shared" si="819"/>
        <v>650</v>
      </c>
      <c r="AG139" s="3">
        <f t="shared" si="819"/>
        <v>650</v>
      </c>
      <c r="AH139" s="3">
        <f t="shared" si="819"/>
        <v>650</v>
      </c>
      <c r="AI139" s="3">
        <f t="shared" si="819"/>
        <v>650</v>
      </c>
      <c r="AJ139" s="3">
        <f t="shared" si="819"/>
        <v>650</v>
      </c>
      <c r="AK139" s="3">
        <f t="shared" si="819"/>
        <v>650</v>
      </c>
      <c r="AL139" s="5">
        <v>54</v>
      </c>
      <c r="AM139" s="6">
        <f t="shared" si="820"/>
        <v>0.4907407407407407</v>
      </c>
      <c r="AP139" s="102"/>
      <c r="AQ139" s="101"/>
      <c r="AR139" s="5">
        <v>54</v>
      </c>
      <c r="AS139" s="6">
        <f t="shared" si="821"/>
        <v>0.4907407407407407</v>
      </c>
      <c r="AT139" s="3">
        <f t="shared" si="822"/>
        <v>600</v>
      </c>
      <c r="AU139" s="3">
        <f t="shared" si="822"/>
        <v>600</v>
      </c>
      <c r="AV139" s="3">
        <f t="shared" si="822"/>
        <v>600</v>
      </c>
      <c r="AW139" s="3">
        <f t="shared" si="822"/>
        <v>600</v>
      </c>
      <c r="AX139" s="3">
        <f t="shared" si="822"/>
        <v>600</v>
      </c>
      <c r="AY139" s="3">
        <f t="shared" si="822"/>
        <v>600</v>
      </c>
      <c r="AZ139" s="3">
        <f t="shared" si="822"/>
        <v>600</v>
      </c>
      <c r="BA139" s="3">
        <f t="shared" si="822"/>
        <v>600</v>
      </c>
      <c r="BB139" s="3">
        <f t="shared" si="822"/>
        <v>600</v>
      </c>
      <c r="BC139" s="3">
        <f>-($F$3*$F$2)/$B$8*P75</f>
        <v>-3068171146.1573849</v>
      </c>
      <c r="BD139" s="3">
        <f t="shared" ref="BD139:BO139" si="847">-($F$3*$F$2)/$B$8*Q75</f>
        <v>-3108252226.9979739</v>
      </c>
      <c r="BE139" s="3">
        <f t="shared" si="847"/>
        <v>-3137080583.1176233</v>
      </c>
      <c r="BF139" s="3">
        <f t="shared" si="847"/>
        <v>-3157700054.6608858</v>
      </c>
      <c r="BG139" s="3">
        <f t="shared" si="847"/>
        <v>-3172104671.3312445</v>
      </c>
      <c r="BH139" s="3">
        <f t="shared" si="847"/>
        <v>-3181571027.6931748</v>
      </c>
      <c r="BI139" s="3">
        <f t="shared" si="847"/>
        <v>-3186862371.4375806</v>
      </c>
      <c r="BJ139" s="3">
        <f t="shared" si="847"/>
        <v>-3188345820.1129923</v>
      </c>
      <c r="BK139" s="3">
        <f t="shared" si="847"/>
        <v>-3186045803.690629</v>
      </c>
      <c r="BL139" s="3">
        <f t="shared" si="847"/>
        <v>-3179643976.4640584</v>
      </c>
      <c r="BM139" s="3">
        <f t="shared" si="847"/>
        <v>-3168425156.876791</v>
      </c>
      <c r="BN139" s="3">
        <f t="shared" si="847"/>
        <v>-3151158107.6126275</v>
      </c>
      <c r="BO139" s="3">
        <f t="shared" si="847"/>
        <v>-3125886285.0934486</v>
      </c>
      <c r="BP139" s="3">
        <f t="shared" si="835"/>
        <v>650</v>
      </c>
      <c r="BQ139" s="3">
        <f t="shared" si="835"/>
        <v>650</v>
      </c>
      <c r="BR139" s="3">
        <f t="shared" si="835"/>
        <v>650</v>
      </c>
      <c r="BS139" s="3">
        <f t="shared" si="835"/>
        <v>650</v>
      </c>
      <c r="BT139" s="3">
        <f t="shared" si="835"/>
        <v>650</v>
      </c>
      <c r="BU139" s="3">
        <f t="shared" si="835"/>
        <v>650</v>
      </c>
      <c r="BV139" s="3">
        <f t="shared" si="835"/>
        <v>650</v>
      </c>
      <c r="BW139" s="3">
        <f t="shared" si="835"/>
        <v>650</v>
      </c>
      <c r="BX139" s="3">
        <f t="shared" si="835"/>
        <v>650</v>
      </c>
      <c r="BY139" s="5">
        <v>54</v>
      </c>
      <c r="BZ139" s="6">
        <f t="shared" si="836"/>
        <v>0.4907407407407407</v>
      </c>
      <c r="CC139" s="94"/>
      <c r="CD139" s="95"/>
      <c r="CE139" s="5">
        <v>54</v>
      </c>
      <c r="CF139" s="6">
        <f t="shared" si="837"/>
        <v>0.4907407407407407</v>
      </c>
      <c r="CG139" s="3">
        <f t="shared" si="838"/>
        <v>600</v>
      </c>
      <c r="CH139" s="3">
        <f t="shared" si="838"/>
        <v>600</v>
      </c>
      <c r="CI139" s="3">
        <f t="shared" si="838"/>
        <v>600</v>
      </c>
      <c r="CJ139" s="3">
        <f t="shared" si="838"/>
        <v>600</v>
      </c>
      <c r="CK139" s="3">
        <f t="shared" si="838"/>
        <v>600</v>
      </c>
      <c r="CL139" s="3">
        <f t="shared" si="838"/>
        <v>600</v>
      </c>
      <c r="CM139" s="3">
        <f t="shared" si="838"/>
        <v>600</v>
      </c>
      <c r="CN139" s="3">
        <f t="shared" si="838"/>
        <v>600</v>
      </c>
      <c r="CO139" s="3">
        <f t="shared" si="838"/>
        <v>600</v>
      </c>
      <c r="CP139" s="3">
        <f>$O$2/($O$3-$O$4*CP138)</f>
        <v>0.11511132164850782</v>
      </c>
      <c r="CQ139" s="3">
        <f t="shared" ref="CQ139:DB139" si="848">$O$2/($O$3-$O$4*CQ138)</f>
        <v>0.11511132164850782</v>
      </c>
      <c r="CR139" s="3">
        <f t="shared" si="848"/>
        <v>0.11511132164850782</v>
      </c>
      <c r="CS139" s="3">
        <f t="shared" si="848"/>
        <v>0.11511132164850782</v>
      </c>
      <c r="CT139" s="3">
        <f t="shared" si="848"/>
        <v>0.11511132164850782</v>
      </c>
      <c r="CU139" s="3">
        <f t="shared" si="848"/>
        <v>0.11511132164850782</v>
      </c>
      <c r="CV139" s="3">
        <f t="shared" si="848"/>
        <v>0.11511132164850782</v>
      </c>
      <c r="CW139" s="3">
        <f t="shared" si="848"/>
        <v>0.11511132164850782</v>
      </c>
      <c r="CX139" s="3">
        <f t="shared" si="848"/>
        <v>0.11511132164850782</v>
      </c>
      <c r="CY139" s="3">
        <f t="shared" si="848"/>
        <v>0.11511132164850782</v>
      </c>
      <c r="CZ139" s="3">
        <f t="shared" si="848"/>
        <v>0.11511132164850782</v>
      </c>
      <c r="DA139" s="3">
        <f t="shared" si="848"/>
        <v>0.11511132164850782</v>
      </c>
      <c r="DB139" s="3">
        <f t="shared" si="848"/>
        <v>0.11511132164850782</v>
      </c>
      <c r="DC139" s="3">
        <f t="shared" si="839"/>
        <v>650</v>
      </c>
      <c r="DD139" s="3">
        <f t="shared" si="839"/>
        <v>650</v>
      </c>
      <c r="DE139" s="3">
        <f t="shared" si="839"/>
        <v>650</v>
      </c>
      <c r="DF139" s="3">
        <f t="shared" si="839"/>
        <v>650</v>
      </c>
      <c r="DG139" s="3">
        <f t="shared" si="839"/>
        <v>650</v>
      </c>
      <c r="DH139" s="3">
        <f t="shared" si="839"/>
        <v>650</v>
      </c>
      <c r="DI139" s="3">
        <f t="shared" si="839"/>
        <v>650</v>
      </c>
      <c r="DJ139" s="3">
        <f t="shared" si="839"/>
        <v>650</v>
      </c>
      <c r="DK139" s="3">
        <f t="shared" si="839"/>
        <v>650</v>
      </c>
      <c r="DL139" s="5">
        <v>54</v>
      </c>
      <c r="DM139" s="6">
        <f t="shared" si="840"/>
        <v>0.4907407407407407</v>
      </c>
      <c r="DQ139" s="94"/>
      <c r="DR139" s="95"/>
      <c r="DS139" s="5">
        <v>54</v>
      </c>
      <c r="DT139" s="6">
        <f t="shared" si="841"/>
        <v>0.4907407407407407</v>
      </c>
      <c r="DU139" s="3">
        <f t="shared" si="842"/>
        <v>600</v>
      </c>
      <c r="DV139" s="3">
        <f t="shared" si="842"/>
        <v>600</v>
      </c>
      <c r="DW139" s="3">
        <f t="shared" si="842"/>
        <v>600</v>
      </c>
      <c r="DX139" s="3">
        <f t="shared" si="842"/>
        <v>600</v>
      </c>
      <c r="DY139" s="3">
        <f t="shared" si="842"/>
        <v>600</v>
      </c>
      <c r="DZ139" s="3">
        <f t="shared" si="842"/>
        <v>600</v>
      </c>
      <c r="EA139" s="3">
        <f t="shared" si="842"/>
        <v>600</v>
      </c>
      <c r="EB139" s="3">
        <f t="shared" si="842"/>
        <v>600</v>
      </c>
      <c r="EC139" s="3">
        <f t="shared" si="842"/>
        <v>600</v>
      </c>
      <c r="ED139" s="3">
        <f>(ED138*$O$4-BC139)/($O$3-$O$4*CP138)</f>
        <v>767.60789458542399</v>
      </c>
      <c r="EE139" s="3">
        <f t="shared" ref="EE139:EP139" si="849">(EE138*$O$4-BD139)/($O$3-$O$4*CQ138)</f>
        <v>776.2069772117527</v>
      </c>
      <c r="EF139" s="3">
        <f t="shared" si="849"/>
        <v>782.39187569889759</v>
      </c>
      <c r="EG139" s="3">
        <f t="shared" si="849"/>
        <v>786.81562215965153</v>
      </c>
      <c r="EH139" s="3">
        <f t="shared" si="849"/>
        <v>789.90602008184453</v>
      </c>
      <c r="EI139" s="3">
        <f t="shared" si="849"/>
        <v>791.93695285160345</v>
      </c>
      <c r="EJ139" s="3">
        <f t="shared" si="849"/>
        <v>793.0721692955766</v>
      </c>
      <c r="EK139" s="3">
        <f t="shared" si="849"/>
        <v>793.39043161446261</v>
      </c>
      <c r="EL139" s="3">
        <f t="shared" si="849"/>
        <v>792.89698106764536</v>
      </c>
      <c r="EM139" s="3">
        <f t="shared" si="849"/>
        <v>791.52351907195452</v>
      </c>
      <c r="EN139" s="3">
        <f t="shared" si="849"/>
        <v>789.11660901420248</v>
      </c>
      <c r="EO139" s="3">
        <f t="shared" si="849"/>
        <v>785.41209855137413</v>
      </c>
      <c r="EP139" s="3">
        <f t="shared" si="849"/>
        <v>779.99022655085002</v>
      </c>
      <c r="EQ139" s="3">
        <f t="shared" si="844"/>
        <v>650</v>
      </c>
      <c r="ER139" s="3">
        <f t="shared" si="844"/>
        <v>650</v>
      </c>
      <c r="ES139" s="3">
        <f t="shared" si="844"/>
        <v>650</v>
      </c>
      <c r="ET139" s="3">
        <f t="shared" si="844"/>
        <v>650</v>
      </c>
      <c r="EU139" s="3">
        <f t="shared" si="844"/>
        <v>650</v>
      </c>
      <c r="EV139" s="3">
        <f t="shared" si="844"/>
        <v>650</v>
      </c>
      <c r="EW139" s="3">
        <f t="shared" si="844"/>
        <v>650</v>
      </c>
      <c r="EX139" s="3">
        <f t="shared" si="844"/>
        <v>650</v>
      </c>
      <c r="EY139" s="3">
        <f t="shared" si="844"/>
        <v>650</v>
      </c>
      <c r="EZ139" s="5">
        <v>54</v>
      </c>
      <c r="FA139" s="6">
        <f t="shared" si="845"/>
        <v>0.4907407407407407</v>
      </c>
    </row>
    <row r="140" spans="3:157" x14ac:dyDescent="0.3">
      <c r="C140" s="94"/>
      <c r="D140" s="95"/>
      <c r="E140" s="5">
        <v>53</v>
      </c>
      <c r="F140" s="6">
        <f t="shared" si="816"/>
        <v>0.48148148148148145</v>
      </c>
      <c r="G140" s="3">
        <f t="shared" si="817"/>
        <v>600</v>
      </c>
      <c r="H140" s="3">
        <f t="shared" si="817"/>
        <v>600</v>
      </c>
      <c r="I140" s="3">
        <f t="shared" si="817"/>
        <v>600</v>
      </c>
      <c r="J140" s="3">
        <f t="shared" si="817"/>
        <v>600</v>
      </c>
      <c r="K140" s="3">
        <f t="shared" si="817"/>
        <v>600</v>
      </c>
      <c r="L140" s="3">
        <f t="shared" si="817"/>
        <v>600</v>
      </c>
      <c r="M140" s="3">
        <f t="shared" si="817"/>
        <v>600</v>
      </c>
      <c r="N140" s="3">
        <f t="shared" si="817"/>
        <v>600</v>
      </c>
      <c r="O140" s="3">
        <f t="shared" si="817"/>
        <v>600</v>
      </c>
      <c r="P140" s="3">
        <f t="shared" ref="P140:P141" si="850">CP140*P141+ED140</f>
        <v>804.8634903528482</v>
      </c>
      <c r="Q140" s="3">
        <f t="shared" ref="Q140:Q141" si="851">CQ140*Q141+EE140</f>
        <v>814.01890295610826</v>
      </c>
      <c r="R140" s="3">
        <f t="shared" ref="R140:R141" si="852">CR140*R141+EF140</f>
        <v>821.58470114723434</v>
      </c>
      <c r="S140" s="3">
        <f t="shared" ref="S140:S141" si="853">CS140*S141+EG140</f>
        <v>827.50759315049527</v>
      </c>
      <c r="T140" s="3">
        <f t="shared" ref="T140:T141" si="854">CT140*T141+EH140</f>
        <v>831.9705262797645</v>
      </c>
      <c r="U140" s="3">
        <f t="shared" ref="U140:U141" si="855">CU140*U141+EI140</f>
        <v>835.11493332805776</v>
      </c>
      <c r="V140" s="3">
        <f t="shared" ref="V140:V141" si="856">CV140*V141+EJ140</f>
        <v>837.03879227689151</v>
      </c>
      <c r="W140" s="3">
        <f t="shared" ref="W140:W141" si="857">CW140*W141+EK140</f>
        <v>837.79743772725215</v>
      </c>
      <c r="X140" s="3">
        <f t="shared" ref="X140:X141" si="858">CX140*X141+EL140</f>
        <v>837.40473339858886</v>
      </c>
      <c r="Y140" s="3">
        <f t="shared" ref="Y140:Y141" si="859">CY140*Y141+EM140</f>
        <v>835.83425617152034</v>
      </c>
      <c r="Z140" s="3">
        <f t="shared" ref="Z140:Z141" si="860">CZ140*Z141+EN140</f>
        <v>833.02041702408792</v>
      </c>
      <c r="AA140" s="3">
        <f t="shared" ref="AA140:AA141" si="861">DA140*AA141+EO140</f>
        <v>828.8614875664656</v>
      </c>
      <c r="AB140" s="3">
        <f t="shared" ref="AB140:AB141" si="862">DB140*AB141+EP140</f>
        <v>823.5216643062447</v>
      </c>
      <c r="AC140" s="3">
        <f t="shared" si="819"/>
        <v>650</v>
      </c>
      <c r="AD140" s="3">
        <f t="shared" si="819"/>
        <v>650</v>
      </c>
      <c r="AE140" s="3">
        <f t="shared" si="819"/>
        <v>650</v>
      </c>
      <c r="AF140" s="3">
        <f t="shared" si="819"/>
        <v>650</v>
      </c>
      <c r="AG140" s="3">
        <f t="shared" si="819"/>
        <v>650</v>
      </c>
      <c r="AH140" s="3">
        <f t="shared" si="819"/>
        <v>650</v>
      </c>
      <c r="AI140" s="3">
        <f t="shared" si="819"/>
        <v>650</v>
      </c>
      <c r="AJ140" s="3">
        <f t="shared" si="819"/>
        <v>650</v>
      </c>
      <c r="AK140" s="3">
        <f t="shared" si="819"/>
        <v>650</v>
      </c>
      <c r="AL140" s="5">
        <v>53</v>
      </c>
      <c r="AM140" s="6">
        <f t="shared" si="820"/>
        <v>0.48148148148148145</v>
      </c>
      <c r="AP140" s="102"/>
      <c r="AQ140" s="101"/>
      <c r="AR140" s="5">
        <v>53</v>
      </c>
      <c r="AS140" s="6">
        <f t="shared" si="821"/>
        <v>0.48148148148148145</v>
      </c>
      <c r="AT140" s="3">
        <f t="shared" si="822"/>
        <v>600</v>
      </c>
      <c r="AU140" s="3">
        <f t="shared" si="822"/>
        <v>600</v>
      </c>
      <c r="AV140" s="3">
        <f t="shared" si="822"/>
        <v>600</v>
      </c>
      <c r="AW140" s="3">
        <f t="shared" si="822"/>
        <v>600</v>
      </c>
      <c r="AX140" s="3">
        <f t="shared" si="822"/>
        <v>600</v>
      </c>
      <c r="AY140" s="3">
        <f t="shared" si="822"/>
        <v>600</v>
      </c>
      <c r="AZ140" s="3">
        <f t="shared" si="822"/>
        <v>600</v>
      </c>
      <c r="BA140" s="3">
        <f t="shared" si="822"/>
        <v>600</v>
      </c>
      <c r="BB140" s="3">
        <f t="shared" si="822"/>
        <v>600</v>
      </c>
      <c r="BC140" s="3">
        <f t="shared" ref="BC140:BC141" si="863">-($F$3*$F$2)/$B$8*P76</f>
        <v>-2878622920.6973701</v>
      </c>
      <c r="BD140" s="3">
        <f t="shared" ref="BD140:BD142" si="864">-($F$3*$F$2)/$B$8*Q76</f>
        <v>-2913095296.723434</v>
      </c>
      <c r="BE140" s="3">
        <f t="shared" ref="BE140:BE142" si="865">-($F$3*$F$2)/$B$8*R76</f>
        <v>-2940977266.3911572</v>
      </c>
      <c r="BF140" s="3">
        <f t="shared" ref="BF140:BF142" si="866">-($F$3*$F$2)/$B$8*S76</f>
        <v>-2962906604.8307014</v>
      </c>
      <c r="BG140" s="3">
        <f t="shared" ref="BG140:BG142" si="867">-($F$3*$F$2)/$B$8*T76</f>
        <v>-2979470919.867816</v>
      </c>
      <c r="BH140" s="3">
        <f t="shared" ref="BH140:BH142" si="868">-($F$3*$F$2)/$B$8*U76</f>
        <v>-2991148019.114965</v>
      </c>
      <c r="BI140" s="3">
        <f t="shared" ref="BI140:BI142" si="869">-($F$3*$F$2)/$B$8*V76</f>
        <v>-2998280210.4450002</v>
      </c>
      <c r="BJ140" s="3">
        <f t="shared" ref="BJ140:BJ142" si="870">-($F$3*$F$2)/$B$8*W76</f>
        <v>-3001066296.4525657</v>
      </c>
      <c r="BK140" s="3">
        <f t="shared" ref="BK140:BK142" si="871">-($F$3*$F$2)/$B$8*X76</f>
        <v>-2999561801.5445795</v>
      </c>
      <c r="BL140" s="3">
        <f t="shared" ref="BL140:BL142" si="872">-($F$3*$F$2)/$B$8*Y76</f>
        <v>-2993683982.4688954</v>
      </c>
      <c r="BM140" s="3">
        <f t="shared" ref="BM140:BM142" si="873">-($F$3*$F$2)/$B$8*Z76</f>
        <v>-2983222282.8401585</v>
      </c>
      <c r="BN140" s="3">
        <f t="shared" ref="BN140:BN142" si="874">-($F$3*$F$2)/$B$8*AA76</f>
        <v>-2967859806.5882912</v>
      </c>
      <c r="BO140" s="3">
        <f t="shared" ref="BO140:BO141" si="875">-($F$3*$F$2)/$B$8*AB76</f>
        <v>-2947215009.3393688</v>
      </c>
      <c r="BP140" s="3">
        <f t="shared" si="835"/>
        <v>650</v>
      </c>
      <c r="BQ140" s="3">
        <f t="shared" si="835"/>
        <v>650</v>
      </c>
      <c r="BR140" s="3">
        <f t="shared" si="835"/>
        <v>650</v>
      </c>
      <c r="BS140" s="3">
        <f t="shared" si="835"/>
        <v>650</v>
      </c>
      <c r="BT140" s="3">
        <f t="shared" si="835"/>
        <v>650</v>
      </c>
      <c r="BU140" s="3">
        <f t="shared" si="835"/>
        <v>650</v>
      </c>
      <c r="BV140" s="3">
        <f t="shared" si="835"/>
        <v>650</v>
      </c>
      <c r="BW140" s="3">
        <f t="shared" si="835"/>
        <v>650</v>
      </c>
      <c r="BX140" s="3">
        <f t="shared" si="835"/>
        <v>650</v>
      </c>
      <c r="BY140" s="5">
        <v>53</v>
      </c>
      <c r="BZ140" s="6">
        <f t="shared" si="836"/>
        <v>0.48148148148148145</v>
      </c>
      <c r="CC140" s="94"/>
      <c r="CD140" s="95"/>
      <c r="CE140" s="5">
        <v>53</v>
      </c>
      <c r="CF140" s="6">
        <f t="shared" si="837"/>
        <v>0.48148148148148145</v>
      </c>
      <c r="CG140" s="3">
        <f t="shared" si="838"/>
        <v>600</v>
      </c>
      <c r="CH140" s="3">
        <f t="shared" si="838"/>
        <v>600</v>
      </c>
      <c r="CI140" s="3">
        <f t="shared" si="838"/>
        <v>600</v>
      </c>
      <c r="CJ140" s="3">
        <f t="shared" si="838"/>
        <v>600</v>
      </c>
      <c r="CK140" s="3">
        <f t="shared" si="838"/>
        <v>600</v>
      </c>
      <c r="CL140" s="3">
        <f t="shared" si="838"/>
        <v>600</v>
      </c>
      <c r="CM140" s="3">
        <f t="shared" si="838"/>
        <v>600</v>
      </c>
      <c r="CN140" s="3">
        <f t="shared" si="838"/>
        <v>600</v>
      </c>
      <c r="CO140" s="3">
        <f t="shared" si="838"/>
        <v>600</v>
      </c>
      <c r="CP140" s="3">
        <f t="shared" ref="CP140:CP142" si="876">$O$2/($O$3-$O$4*CP139)</f>
        <v>0.11665710012935292</v>
      </c>
      <c r="CQ140" s="3">
        <f t="shared" ref="CQ140:CQ142" si="877">$O$2/($O$3-$O$4*CQ139)</f>
        <v>0.11665710012935292</v>
      </c>
      <c r="CR140" s="3">
        <f t="shared" ref="CR140:CR142" si="878">$O$2/($O$3-$O$4*CR139)</f>
        <v>0.11665710012935292</v>
      </c>
      <c r="CS140" s="3">
        <f t="shared" ref="CS140:CS142" si="879">$O$2/($O$3-$O$4*CS139)</f>
        <v>0.11665710012935292</v>
      </c>
      <c r="CT140" s="3">
        <f t="shared" ref="CT140:CT142" si="880">$O$2/($O$3-$O$4*CT139)</f>
        <v>0.11665710012935292</v>
      </c>
      <c r="CU140" s="3">
        <f t="shared" ref="CU140:CU142" si="881">$O$2/($O$3-$O$4*CU139)</f>
        <v>0.11665710012935292</v>
      </c>
      <c r="CV140" s="3">
        <f t="shared" ref="CV140:CV142" si="882">$O$2/($O$3-$O$4*CV139)</f>
        <v>0.11665710012935292</v>
      </c>
      <c r="CW140" s="3">
        <f t="shared" ref="CW140:CW142" si="883">$O$2/($O$3-$O$4*CW139)</f>
        <v>0.11665710012935292</v>
      </c>
      <c r="CX140" s="3">
        <f t="shared" ref="CX140:CX142" si="884">$O$2/($O$3-$O$4*CX139)</f>
        <v>0.11665710012935292</v>
      </c>
      <c r="CY140" s="3">
        <f t="shared" ref="CY140:CY142" si="885">$O$2/($O$3-$O$4*CY139)</f>
        <v>0.11665710012935292</v>
      </c>
      <c r="CZ140" s="3">
        <f t="shared" ref="CZ140:CZ142" si="886">$O$2/($O$3-$O$4*CZ139)</f>
        <v>0.11665710012935292</v>
      </c>
      <c r="DA140" s="3">
        <f t="shared" ref="DA140:DA142" si="887">$O$2/($O$3-$O$4*DA139)</f>
        <v>0.11665710012935292</v>
      </c>
      <c r="DB140" s="3">
        <f t="shared" ref="DB140:DB142" si="888">$O$2/($O$3-$O$4*DB139)</f>
        <v>0.11665710012935292</v>
      </c>
      <c r="DC140" s="3">
        <f t="shared" si="839"/>
        <v>650</v>
      </c>
      <c r="DD140" s="3">
        <f t="shared" si="839"/>
        <v>650</v>
      </c>
      <c r="DE140" s="3">
        <f t="shared" si="839"/>
        <v>650</v>
      </c>
      <c r="DF140" s="3">
        <f t="shared" si="839"/>
        <v>650</v>
      </c>
      <c r="DG140" s="3">
        <f t="shared" si="839"/>
        <v>650</v>
      </c>
      <c r="DH140" s="3">
        <f t="shared" si="839"/>
        <v>650</v>
      </c>
      <c r="DI140" s="3">
        <f t="shared" si="839"/>
        <v>650</v>
      </c>
      <c r="DJ140" s="3">
        <f t="shared" si="839"/>
        <v>650</v>
      </c>
      <c r="DK140" s="3">
        <f t="shared" si="839"/>
        <v>650</v>
      </c>
      <c r="DL140" s="5">
        <v>53</v>
      </c>
      <c r="DM140" s="6">
        <f t="shared" si="840"/>
        <v>0.48148148148148145</v>
      </c>
      <c r="DQ140" s="94"/>
      <c r="DR140" s="95"/>
      <c r="DS140" s="5">
        <v>53</v>
      </c>
      <c r="DT140" s="6">
        <f t="shared" si="841"/>
        <v>0.48148148148148145</v>
      </c>
      <c r="DU140" s="3">
        <f t="shared" si="842"/>
        <v>600</v>
      </c>
      <c r="DV140" s="3">
        <f t="shared" si="842"/>
        <v>600</v>
      </c>
      <c r="DW140" s="3">
        <f t="shared" si="842"/>
        <v>600</v>
      </c>
      <c r="DX140" s="3">
        <f t="shared" si="842"/>
        <v>600</v>
      </c>
      <c r="DY140" s="3">
        <f t="shared" si="842"/>
        <v>600</v>
      </c>
      <c r="DZ140" s="3">
        <f t="shared" si="842"/>
        <v>600</v>
      </c>
      <c r="EA140" s="3">
        <f t="shared" si="842"/>
        <v>600</v>
      </c>
      <c r="EB140" s="3">
        <f t="shared" si="842"/>
        <v>600</v>
      </c>
      <c r="EC140" s="3">
        <f t="shared" si="842"/>
        <v>600</v>
      </c>
      <c r="ED140" s="3">
        <f t="shared" ref="ED140:ED142" si="889">(ED139*$O$4-BC140)/($O$3-$O$4*CP139)</f>
        <v>715.42624671989392</v>
      </c>
      <c r="EE140" s="3">
        <f t="shared" ref="EE140:EE142" si="890">(EE139*$O$4-BD140)/($O$3-$O$4*CQ139)</f>
        <v>723.9244842160831</v>
      </c>
      <c r="EF140" s="3">
        <f t="shared" ref="EF140:EF142" si="891">(EF139*$O$4-BE140)/($O$3-$O$4*CR139)</f>
        <v>730.70818291494572</v>
      </c>
      <c r="EG140" s="3">
        <f t="shared" ref="EG140:EG142" si="892">(EG139*$O$4-BF140)/($O$3-$O$4*CS139)</f>
        <v>735.99219074293262</v>
      </c>
      <c r="EH140" s="3">
        <f t="shared" ref="EH140:EH142" si="893">(EH139*$O$4-BG140)/($O$3-$O$4*CT139)</f>
        <v>739.95417357362214</v>
      </c>
      <c r="EI140" s="3">
        <f t="shared" ref="EI140:EI142" si="894">(EI139*$O$4-BH140)/($O$3-$O$4*CU139)</f>
        <v>742.72996829686372</v>
      </c>
      <c r="EJ140" s="3">
        <f t="shared" ref="EJ140:EJ142" si="895">(EJ139*$O$4-BI140)/($O$3-$O$4*CV139)</f>
        <v>744.41310304054423</v>
      </c>
      <c r="EK140" s="3">
        <f t="shared" ref="EK140:EK142" si="896">(EK139*$O$4-BJ140)/($O$3-$O$4*CW139)</f>
        <v>745.05599026596815</v>
      </c>
      <c r="EL140" s="3">
        <f t="shared" ref="EL140:EL142" si="897">(EL139*$O$4-BK140)/($O$3-$O$4*CX139)</f>
        <v>744.67131369611104</v>
      </c>
      <c r="EM140" s="3">
        <f t="shared" ref="EM140:EM142" si="898">(EM139*$O$4-BL140)/($O$3-$O$4*CY139)</f>
        <v>743.23311551570691</v>
      </c>
      <c r="EN140" s="3">
        <f t="shared" ref="EN140:EN142" si="899">(EN139*$O$4-BM140)/($O$3-$O$4*CZ139)</f>
        <v>740.67771641653928</v>
      </c>
      <c r="EO140" s="3">
        <f t="shared" ref="EO140:EO142" si="900">(EO139*$O$4-BN140)/($O$3-$O$4*DA139)</f>
        <v>736.90540060250623</v>
      </c>
      <c r="EP140" s="3">
        <f t="shared" ref="EP140:EP142" si="901">(EP139*$O$4-BO140)/($O$3-$O$4*DB139)</f>
        <v>731.78424336786054</v>
      </c>
      <c r="EQ140" s="3">
        <f t="shared" si="844"/>
        <v>650</v>
      </c>
      <c r="ER140" s="3">
        <f t="shared" si="844"/>
        <v>650</v>
      </c>
      <c r="ES140" s="3">
        <f t="shared" si="844"/>
        <v>650</v>
      </c>
      <c r="ET140" s="3">
        <f t="shared" si="844"/>
        <v>650</v>
      </c>
      <c r="EU140" s="3">
        <f t="shared" si="844"/>
        <v>650</v>
      </c>
      <c r="EV140" s="3">
        <f t="shared" si="844"/>
        <v>650</v>
      </c>
      <c r="EW140" s="3">
        <f t="shared" si="844"/>
        <v>650</v>
      </c>
      <c r="EX140" s="3">
        <f t="shared" si="844"/>
        <v>650</v>
      </c>
      <c r="EY140" s="3">
        <f t="shared" si="844"/>
        <v>650</v>
      </c>
      <c r="EZ140" s="5">
        <v>53</v>
      </c>
      <c r="FA140" s="6">
        <f t="shared" si="845"/>
        <v>0.48148148148148145</v>
      </c>
    </row>
    <row r="141" spans="3:157" x14ac:dyDescent="0.3">
      <c r="C141" s="94"/>
      <c r="D141" s="95"/>
      <c r="E141" s="5">
        <v>52</v>
      </c>
      <c r="F141" s="6">
        <f t="shared" si="816"/>
        <v>0.47222222222222221</v>
      </c>
      <c r="G141" s="3">
        <f t="shared" si="817"/>
        <v>600</v>
      </c>
      <c r="H141" s="3">
        <f t="shared" si="817"/>
        <v>600</v>
      </c>
      <c r="I141" s="3">
        <f t="shared" si="817"/>
        <v>600</v>
      </c>
      <c r="J141" s="3">
        <f t="shared" si="817"/>
        <v>600</v>
      </c>
      <c r="K141" s="3">
        <f t="shared" si="817"/>
        <v>600</v>
      </c>
      <c r="L141" s="3">
        <f t="shared" si="817"/>
        <v>600</v>
      </c>
      <c r="M141" s="3">
        <f t="shared" si="817"/>
        <v>600</v>
      </c>
      <c r="N141" s="3">
        <f t="shared" si="817"/>
        <v>600</v>
      </c>
      <c r="O141" s="3">
        <f t="shared" si="817"/>
        <v>600</v>
      </c>
      <c r="P141" s="3">
        <f t="shared" si="850"/>
        <v>766.66781133581708</v>
      </c>
      <c r="Q141" s="3">
        <f t="shared" si="851"/>
        <v>772.30120275684703</v>
      </c>
      <c r="R141" s="3">
        <f t="shared" si="852"/>
        <v>779.00546243239364</v>
      </c>
      <c r="S141" s="3">
        <f t="shared" si="853"/>
        <v>784.48206158122935</v>
      </c>
      <c r="T141" s="3">
        <f t="shared" si="854"/>
        <v>788.77627340394872</v>
      </c>
      <c r="U141" s="3">
        <f t="shared" si="855"/>
        <v>791.93606671822658</v>
      </c>
      <c r="V141" s="3">
        <f t="shared" si="856"/>
        <v>793.99958625442525</v>
      </c>
      <c r="W141" s="3">
        <f t="shared" si="857"/>
        <v>794.99188097809338</v>
      </c>
      <c r="X141" s="3">
        <f t="shared" si="858"/>
        <v>794.92306597414313</v>
      </c>
      <c r="Y141" s="3">
        <f t="shared" si="859"/>
        <v>793.78915259452231</v>
      </c>
      <c r="Z141" s="3">
        <f t="shared" si="860"/>
        <v>791.57377052195034</v>
      </c>
      <c r="AA141" s="3">
        <f t="shared" si="861"/>
        <v>788.25966753841533</v>
      </c>
      <c r="AB141" s="3">
        <f t="shared" si="862"/>
        <v>786.3852336176958</v>
      </c>
      <c r="AC141" s="3">
        <f t="shared" si="819"/>
        <v>650</v>
      </c>
      <c r="AD141" s="3">
        <f t="shared" si="819"/>
        <v>650</v>
      </c>
      <c r="AE141" s="3">
        <f t="shared" si="819"/>
        <v>650</v>
      </c>
      <c r="AF141" s="3">
        <f t="shared" si="819"/>
        <v>650</v>
      </c>
      <c r="AG141" s="3">
        <f t="shared" si="819"/>
        <v>650</v>
      </c>
      <c r="AH141" s="3">
        <f t="shared" si="819"/>
        <v>650</v>
      </c>
      <c r="AI141" s="3">
        <f t="shared" si="819"/>
        <v>650</v>
      </c>
      <c r="AJ141" s="3">
        <f t="shared" si="819"/>
        <v>650</v>
      </c>
      <c r="AK141" s="3">
        <f t="shared" si="819"/>
        <v>650</v>
      </c>
      <c r="AL141" s="5">
        <v>52</v>
      </c>
      <c r="AM141" s="6">
        <f t="shared" si="820"/>
        <v>0.47222222222222221</v>
      </c>
      <c r="AP141" s="102"/>
      <c r="AQ141" s="101"/>
      <c r="AR141" s="5">
        <v>52</v>
      </c>
      <c r="AS141" s="6">
        <f t="shared" si="821"/>
        <v>0.47222222222222221</v>
      </c>
      <c r="AT141" s="3">
        <f t="shared" si="822"/>
        <v>600</v>
      </c>
      <c r="AU141" s="3">
        <f t="shared" si="822"/>
        <v>600</v>
      </c>
      <c r="AV141" s="3">
        <f t="shared" si="822"/>
        <v>600</v>
      </c>
      <c r="AW141" s="3">
        <f t="shared" si="822"/>
        <v>600</v>
      </c>
      <c r="AX141" s="3">
        <f t="shared" si="822"/>
        <v>600</v>
      </c>
      <c r="AY141" s="3">
        <f t="shared" si="822"/>
        <v>600</v>
      </c>
      <c r="AZ141" s="3">
        <f t="shared" si="822"/>
        <v>600</v>
      </c>
      <c r="BA141" s="3">
        <f t="shared" si="822"/>
        <v>600</v>
      </c>
      <c r="BB141" s="3">
        <f t="shared" si="822"/>
        <v>600</v>
      </c>
      <c r="BC141" s="3">
        <f t="shared" si="863"/>
        <v>-2737141551.6012197</v>
      </c>
      <c r="BD141" s="3">
        <f t="shared" si="864"/>
        <v>-2765828277.5636086</v>
      </c>
      <c r="BE141" s="3">
        <f t="shared" si="865"/>
        <v>-2790018609.8110223</v>
      </c>
      <c r="BF141" s="3">
        <f t="shared" si="866"/>
        <v>-2809829947.4624257</v>
      </c>
      <c r="BG141" s="3">
        <f t="shared" si="867"/>
        <v>-2825402092.333333</v>
      </c>
      <c r="BH141" s="3">
        <f t="shared" si="868"/>
        <v>-2836877628.8747182</v>
      </c>
      <c r="BI141" s="3">
        <f t="shared" si="869"/>
        <v>-2844376333.4613686</v>
      </c>
      <c r="BJ141" s="3">
        <f t="shared" si="870"/>
        <v>-2847980365.6840792</v>
      </c>
      <c r="BK141" s="3">
        <f t="shared" si="871"/>
        <v>-2847727581.0410171</v>
      </c>
      <c r="BL141" s="3">
        <f t="shared" si="872"/>
        <v>-2843612885.1656084</v>
      </c>
      <c r="BM141" s="3">
        <f t="shared" si="873"/>
        <v>-2835596221.8283553</v>
      </c>
      <c r="BN141" s="3">
        <f t="shared" si="874"/>
        <v>-2823618762.7180276</v>
      </c>
      <c r="BO141" s="3">
        <f t="shared" si="875"/>
        <v>-2807605570.4678025</v>
      </c>
      <c r="BP141" s="3">
        <f t="shared" si="835"/>
        <v>650</v>
      </c>
      <c r="BQ141" s="3">
        <f t="shared" si="835"/>
        <v>650</v>
      </c>
      <c r="BR141" s="3">
        <f t="shared" si="835"/>
        <v>650</v>
      </c>
      <c r="BS141" s="3">
        <f t="shared" si="835"/>
        <v>650</v>
      </c>
      <c r="BT141" s="3">
        <f t="shared" si="835"/>
        <v>650</v>
      </c>
      <c r="BU141" s="3">
        <f t="shared" si="835"/>
        <v>650</v>
      </c>
      <c r="BV141" s="3">
        <f t="shared" si="835"/>
        <v>650</v>
      </c>
      <c r="BW141" s="3">
        <f t="shared" si="835"/>
        <v>650</v>
      </c>
      <c r="BX141" s="3">
        <f t="shared" si="835"/>
        <v>650</v>
      </c>
      <c r="BY141" s="5">
        <v>52</v>
      </c>
      <c r="BZ141" s="6">
        <f t="shared" si="836"/>
        <v>0.47222222222222221</v>
      </c>
      <c r="CC141" s="94"/>
      <c r="CD141" s="95"/>
      <c r="CE141" s="5">
        <v>52</v>
      </c>
      <c r="CF141" s="6">
        <f t="shared" si="837"/>
        <v>0.47222222222222221</v>
      </c>
      <c r="CG141" s="3">
        <f t="shared" si="838"/>
        <v>600</v>
      </c>
      <c r="CH141" s="3">
        <f t="shared" si="838"/>
        <v>600</v>
      </c>
      <c r="CI141" s="3">
        <f t="shared" si="838"/>
        <v>600</v>
      </c>
      <c r="CJ141" s="3">
        <f t="shared" si="838"/>
        <v>600</v>
      </c>
      <c r="CK141" s="3">
        <f t="shared" si="838"/>
        <v>600</v>
      </c>
      <c r="CL141" s="3">
        <f t="shared" si="838"/>
        <v>600</v>
      </c>
      <c r="CM141" s="3">
        <f t="shared" si="838"/>
        <v>600</v>
      </c>
      <c r="CN141" s="3">
        <f t="shared" si="838"/>
        <v>600</v>
      </c>
      <c r="CO141" s="3">
        <f t="shared" si="838"/>
        <v>600</v>
      </c>
      <c r="CP141" s="3">
        <f t="shared" si="876"/>
        <v>0.1166781402357549</v>
      </c>
      <c r="CQ141" s="3">
        <f t="shared" si="877"/>
        <v>0.1166781402357549</v>
      </c>
      <c r="CR141" s="3">
        <f t="shared" si="878"/>
        <v>0.1166781402357549</v>
      </c>
      <c r="CS141" s="3">
        <f t="shared" si="879"/>
        <v>0.1166781402357549</v>
      </c>
      <c r="CT141" s="3">
        <f t="shared" si="880"/>
        <v>0.1166781402357549</v>
      </c>
      <c r="CU141" s="3">
        <f t="shared" si="881"/>
        <v>0.1166781402357549</v>
      </c>
      <c r="CV141" s="3">
        <f t="shared" si="882"/>
        <v>0.1166781402357549</v>
      </c>
      <c r="CW141" s="3">
        <f t="shared" si="883"/>
        <v>0.1166781402357549</v>
      </c>
      <c r="CX141" s="3">
        <f t="shared" si="884"/>
        <v>0.1166781402357549</v>
      </c>
      <c r="CY141" s="3">
        <f t="shared" si="885"/>
        <v>0.1166781402357549</v>
      </c>
      <c r="CZ141" s="3">
        <f t="shared" si="886"/>
        <v>0.1166781402357549</v>
      </c>
      <c r="DA141" s="3">
        <f t="shared" si="887"/>
        <v>0.1166781402357549</v>
      </c>
      <c r="DB141" s="3">
        <f t="shared" si="888"/>
        <v>0.1166781402357549</v>
      </c>
      <c r="DC141" s="3">
        <f t="shared" si="839"/>
        <v>650</v>
      </c>
      <c r="DD141" s="3">
        <f t="shared" si="839"/>
        <v>650</v>
      </c>
      <c r="DE141" s="3">
        <f t="shared" si="839"/>
        <v>650</v>
      </c>
      <c r="DF141" s="3">
        <f t="shared" si="839"/>
        <v>650</v>
      </c>
      <c r="DG141" s="3">
        <f t="shared" si="839"/>
        <v>650</v>
      </c>
      <c r="DH141" s="3">
        <f t="shared" si="839"/>
        <v>650</v>
      </c>
      <c r="DI141" s="3">
        <f t="shared" si="839"/>
        <v>650</v>
      </c>
      <c r="DJ141" s="3">
        <f t="shared" si="839"/>
        <v>650</v>
      </c>
      <c r="DK141" s="3">
        <f t="shared" si="839"/>
        <v>650</v>
      </c>
      <c r="DL141" s="5">
        <v>52</v>
      </c>
      <c r="DM141" s="6">
        <f t="shared" si="840"/>
        <v>0.47222222222222221</v>
      </c>
      <c r="DQ141" s="94"/>
      <c r="DR141" s="95"/>
      <c r="DS141" s="5">
        <v>52</v>
      </c>
      <c r="DT141" s="6">
        <f t="shared" si="841"/>
        <v>0.47222222222222221</v>
      </c>
      <c r="DU141" s="3">
        <f t="shared" si="842"/>
        <v>600</v>
      </c>
      <c r="DV141" s="3">
        <f t="shared" si="842"/>
        <v>600</v>
      </c>
      <c r="DW141" s="3">
        <f t="shared" si="842"/>
        <v>600</v>
      </c>
      <c r="DX141" s="3">
        <f t="shared" si="842"/>
        <v>600</v>
      </c>
      <c r="DY141" s="3">
        <f t="shared" si="842"/>
        <v>600</v>
      </c>
      <c r="DZ141" s="3">
        <f t="shared" si="842"/>
        <v>600</v>
      </c>
      <c r="EA141" s="3">
        <f t="shared" si="842"/>
        <v>600</v>
      </c>
      <c r="EB141" s="3">
        <f t="shared" si="842"/>
        <v>600</v>
      </c>
      <c r="EC141" s="3">
        <f t="shared" si="842"/>
        <v>600</v>
      </c>
      <c r="ED141" s="3">
        <f t="shared" si="889"/>
        <v>678.69994576567456</v>
      </c>
      <c r="EE141" s="3">
        <f t="shared" si="890"/>
        <v>685.92978828265404</v>
      </c>
      <c r="EF141" s="3">
        <f t="shared" si="891"/>
        <v>691.98178508064609</v>
      </c>
      <c r="EG141" s="3">
        <f t="shared" si="892"/>
        <v>696.906534109061</v>
      </c>
      <c r="EH141" s="3">
        <f t="shared" si="893"/>
        <v>700.75516672844992</v>
      </c>
      <c r="EI141" s="3">
        <f t="shared" si="894"/>
        <v>703.57453888988982</v>
      </c>
      <c r="EJ141" s="3">
        <f t="shared" si="895"/>
        <v>705.40161013805221</v>
      </c>
      <c r="EK141" s="3">
        <f t="shared" si="896"/>
        <v>706.26036248237028</v>
      </c>
      <c r="EL141" s="3">
        <f t="shared" si="897"/>
        <v>706.16050798313381</v>
      </c>
      <c r="EM141" s="3">
        <f t="shared" si="898"/>
        <v>705.09791009760545</v>
      </c>
      <c r="EN141" s="3">
        <f t="shared" si="899"/>
        <v>703.05642811915595</v>
      </c>
      <c r="EO141" s="3">
        <f t="shared" si="900"/>
        <v>700.0116344490217</v>
      </c>
      <c r="EP141" s="3">
        <f t="shared" si="901"/>
        <v>695.93184029904376</v>
      </c>
      <c r="EQ141" s="3">
        <f t="shared" si="844"/>
        <v>650</v>
      </c>
      <c r="ER141" s="3">
        <f t="shared" si="844"/>
        <v>650</v>
      </c>
      <c r="ES141" s="3">
        <f t="shared" si="844"/>
        <v>650</v>
      </c>
      <c r="ET141" s="3">
        <f t="shared" si="844"/>
        <v>650</v>
      </c>
      <c r="EU141" s="3">
        <f t="shared" si="844"/>
        <v>650</v>
      </c>
      <c r="EV141" s="3">
        <f t="shared" si="844"/>
        <v>650</v>
      </c>
      <c r="EW141" s="3">
        <f t="shared" si="844"/>
        <v>650</v>
      </c>
      <c r="EX141" s="3">
        <f t="shared" si="844"/>
        <v>650</v>
      </c>
      <c r="EY141" s="3">
        <f t="shared" si="844"/>
        <v>650</v>
      </c>
      <c r="EZ141" s="5">
        <v>52</v>
      </c>
      <c r="FA141" s="6">
        <f t="shared" si="845"/>
        <v>0.47222222222222221</v>
      </c>
    </row>
    <row r="142" spans="3:157" x14ac:dyDescent="0.3">
      <c r="C142" s="94"/>
      <c r="D142" s="95"/>
      <c r="E142" s="5">
        <v>51</v>
      </c>
      <c r="F142" s="6">
        <f t="shared" si="816"/>
        <v>0.46296296296296291</v>
      </c>
      <c r="G142" s="3">
        <f t="shared" si="817"/>
        <v>600</v>
      </c>
      <c r="H142" s="3">
        <f t="shared" si="817"/>
        <v>600</v>
      </c>
      <c r="I142" s="3">
        <f t="shared" si="817"/>
        <v>600</v>
      </c>
      <c r="J142" s="3">
        <f t="shared" si="817"/>
        <v>600</v>
      </c>
      <c r="K142" s="3">
        <f t="shared" si="817"/>
        <v>600</v>
      </c>
      <c r="L142" s="3">
        <f t="shared" si="817"/>
        <v>600</v>
      </c>
      <c r="M142" s="3">
        <f t="shared" si="817"/>
        <v>600</v>
      </c>
      <c r="N142" s="3">
        <f t="shared" si="817"/>
        <v>600</v>
      </c>
      <c r="O142" s="3">
        <f t="shared" si="817"/>
        <v>600</v>
      </c>
      <c r="P142" s="3">
        <f>($F$5*$B$5*P16+$F$4*P77)/($F$4+$F$5*$B$5)</f>
        <v>753.93613055880405</v>
      </c>
      <c r="Q142" s="3">
        <f t="shared" ref="Q142:Q143" si="902">CQ142*Q143+EE142</f>
        <v>740.25360962794412</v>
      </c>
      <c r="R142" s="3">
        <f t="shared" ref="R142:R143" si="903">CR142*R143+EF142</f>
        <v>745.84388451779557</v>
      </c>
      <c r="S142" s="3">
        <f t="shared" ref="S142:S143" si="904">CS142*S143+EG142</f>
        <v>750.57356326743763</v>
      </c>
      <c r="T142" s="3">
        <f t="shared" ref="T142:T143" si="905">CT142*T143+EH142</f>
        <v>754.39243801492785</v>
      </c>
      <c r="U142" s="3">
        <f t="shared" ref="U142:U143" si="906">CU142*U143+EI142</f>
        <v>757.31004667881462</v>
      </c>
      <c r="V142" s="3">
        <f t="shared" ref="V142:V143" si="907">CV142*V143+EJ142</f>
        <v>759.33654699462738</v>
      </c>
      <c r="W142" s="3">
        <f t="shared" ref="W142:W143" si="908">CW142*W143+EK142</f>
        <v>760.48108340119188</v>
      </c>
      <c r="X142" s="3">
        <f t="shared" ref="X142:X143" si="909">CX142*X143+EL142</f>
        <v>760.74711005557265</v>
      </c>
      <c r="Y142" s="3">
        <f t="shared" ref="Y142:Y143" si="910">CY142*Y143+EM142</f>
        <v>760.13589450184122</v>
      </c>
      <c r="Z142" s="3">
        <f t="shared" ref="Z142:Z143" si="911">CZ142*Z143+EN142</f>
        <v>758.64546884223591</v>
      </c>
      <c r="AA142" s="3">
        <f t="shared" ref="AA142:AA143" si="912">DA142*AA143+EO142</f>
        <v>756.33733029240398</v>
      </c>
      <c r="AB142" s="3">
        <f t="shared" ref="AB142" si="913">($F$5*$B$5*AB16+$F$4*AB77)/($F$4+$F$5*$B$5)</f>
        <v>775.2385591327195</v>
      </c>
      <c r="AC142" s="3">
        <f t="shared" si="819"/>
        <v>650</v>
      </c>
      <c r="AD142" s="3">
        <f t="shared" si="819"/>
        <v>650</v>
      </c>
      <c r="AE142" s="3">
        <f t="shared" si="819"/>
        <v>650</v>
      </c>
      <c r="AF142" s="3">
        <f t="shared" si="819"/>
        <v>650</v>
      </c>
      <c r="AG142" s="3">
        <f t="shared" si="819"/>
        <v>650</v>
      </c>
      <c r="AH142" s="3">
        <f t="shared" si="819"/>
        <v>650</v>
      </c>
      <c r="AI142" s="3">
        <f t="shared" si="819"/>
        <v>650</v>
      </c>
      <c r="AJ142" s="3">
        <f t="shared" si="819"/>
        <v>650</v>
      </c>
      <c r="AK142" s="3">
        <f t="shared" si="819"/>
        <v>650</v>
      </c>
      <c r="AL142" s="5">
        <v>51</v>
      </c>
      <c r="AM142" s="6">
        <f t="shared" si="820"/>
        <v>0.46296296296296291</v>
      </c>
      <c r="AP142" s="102"/>
      <c r="AQ142" s="101"/>
      <c r="AR142" s="5">
        <v>51</v>
      </c>
      <c r="AS142" s="6">
        <f t="shared" si="821"/>
        <v>0.46296296296296291</v>
      </c>
      <c r="AT142" s="3">
        <f t="shared" si="822"/>
        <v>600</v>
      </c>
      <c r="AU142" s="3">
        <f t="shared" si="822"/>
        <v>600</v>
      </c>
      <c r="AV142" s="3">
        <f t="shared" si="822"/>
        <v>600</v>
      </c>
      <c r="AW142" s="3">
        <f t="shared" si="822"/>
        <v>600</v>
      </c>
      <c r="AX142" s="3">
        <f t="shared" si="822"/>
        <v>600</v>
      </c>
      <c r="AY142" s="3">
        <f t="shared" si="822"/>
        <v>600</v>
      </c>
      <c r="AZ142" s="3">
        <f t="shared" si="822"/>
        <v>600</v>
      </c>
      <c r="BA142" s="3">
        <f t="shared" si="822"/>
        <v>600</v>
      </c>
      <c r="BB142" s="3">
        <f t="shared" si="822"/>
        <v>600</v>
      </c>
      <c r="BC142" s="7"/>
      <c r="BD142" s="3">
        <f t="shared" si="864"/>
        <v>-2652097063.0717635</v>
      </c>
      <c r="BE142" s="3">
        <f t="shared" si="865"/>
        <v>-2672330483.8380985</v>
      </c>
      <c r="BF142" s="3">
        <f t="shared" si="866"/>
        <v>-2689307797.3455234</v>
      </c>
      <c r="BG142" s="3">
        <f t="shared" si="867"/>
        <v>-2703035275.7432342</v>
      </c>
      <c r="BH142" s="3">
        <f t="shared" si="868"/>
        <v>-2713534901.4084578</v>
      </c>
      <c r="BI142" s="3">
        <f t="shared" si="869"/>
        <v>-2720833759.158462</v>
      </c>
      <c r="BJ142" s="3">
        <f t="shared" si="870"/>
        <v>-2724955923.2151618</v>
      </c>
      <c r="BK142" s="3">
        <f t="shared" si="871"/>
        <v>-2725914885.9573731</v>
      </c>
      <c r="BL142" s="3">
        <f t="shared" si="872"/>
        <v>-2723714510.2645664</v>
      </c>
      <c r="BM142" s="3">
        <f t="shared" si="873"/>
        <v>-2718348435.8091393</v>
      </c>
      <c r="BN142" s="3">
        <f t="shared" si="874"/>
        <v>-2709800686.1864018</v>
      </c>
      <c r="BO142" s="7"/>
      <c r="BP142" s="3">
        <f t="shared" si="835"/>
        <v>650</v>
      </c>
      <c r="BQ142" s="3">
        <f t="shared" si="835"/>
        <v>650</v>
      </c>
      <c r="BR142" s="3">
        <f t="shared" si="835"/>
        <v>650</v>
      </c>
      <c r="BS142" s="3">
        <f t="shared" si="835"/>
        <v>650</v>
      </c>
      <c r="BT142" s="3">
        <f t="shared" si="835"/>
        <v>650</v>
      </c>
      <c r="BU142" s="3">
        <f t="shared" si="835"/>
        <v>650</v>
      </c>
      <c r="BV142" s="3">
        <f t="shared" si="835"/>
        <v>650</v>
      </c>
      <c r="BW142" s="3">
        <f t="shared" si="835"/>
        <v>650</v>
      </c>
      <c r="BX142" s="3">
        <f t="shared" si="835"/>
        <v>650</v>
      </c>
      <c r="BY142" s="5">
        <v>51</v>
      </c>
      <c r="BZ142" s="6">
        <f t="shared" si="836"/>
        <v>0.46296296296296291</v>
      </c>
      <c r="CC142" s="94"/>
      <c r="CD142" s="95"/>
      <c r="CE142" s="5">
        <v>51</v>
      </c>
      <c r="CF142" s="6">
        <f t="shared" si="837"/>
        <v>0.46296296296296291</v>
      </c>
      <c r="CG142" s="3">
        <f t="shared" si="838"/>
        <v>600</v>
      </c>
      <c r="CH142" s="3">
        <f t="shared" si="838"/>
        <v>600</v>
      </c>
      <c r="CI142" s="3">
        <f t="shared" si="838"/>
        <v>600</v>
      </c>
      <c r="CJ142" s="3">
        <f t="shared" si="838"/>
        <v>600</v>
      </c>
      <c r="CK142" s="3">
        <f t="shared" si="838"/>
        <v>600</v>
      </c>
      <c r="CL142" s="3">
        <f t="shared" si="838"/>
        <v>600</v>
      </c>
      <c r="CM142" s="3">
        <f t="shared" si="838"/>
        <v>600</v>
      </c>
      <c r="CN142" s="3">
        <f t="shared" si="838"/>
        <v>600</v>
      </c>
      <c r="CO142" s="3">
        <f t="shared" si="838"/>
        <v>600</v>
      </c>
      <c r="CP142" s="3">
        <f t="shared" si="876"/>
        <v>0.11667842667201472</v>
      </c>
      <c r="CQ142" s="3">
        <f t="shared" si="877"/>
        <v>0.11667842667201472</v>
      </c>
      <c r="CR142" s="3">
        <f t="shared" si="878"/>
        <v>0.11667842667201472</v>
      </c>
      <c r="CS142" s="3">
        <f t="shared" si="879"/>
        <v>0.11667842667201472</v>
      </c>
      <c r="CT142" s="3">
        <f t="shared" si="880"/>
        <v>0.11667842667201472</v>
      </c>
      <c r="CU142" s="3">
        <f t="shared" si="881"/>
        <v>0.11667842667201472</v>
      </c>
      <c r="CV142" s="3">
        <f t="shared" si="882"/>
        <v>0.11667842667201472</v>
      </c>
      <c r="CW142" s="3">
        <f t="shared" si="883"/>
        <v>0.11667842667201472</v>
      </c>
      <c r="CX142" s="3">
        <f t="shared" si="884"/>
        <v>0.11667842667201472</v>
      </c>
      <c r="CY142" s="3">
        <f t="shared" si="885"/>
        <v>0.11667842667201472</v>
      </c>
      <c r="CZ142" s="3">
        <f t="shared" si="886"/>
        <v>0.11667842667201472</v>
      </c>
      <c r="DA142" s="3">
        <f t="shared" si="887"/>
        <v>0.11667842667201472</v>
      </c>
      <c r="DB142" s="3">
        <f t="shared" si="888"/>
        <v>0.11667842667201472</v>
      </c>
      <c r="DC142" s="3">
        <f t="shared" si="839"/>
        <v>650</v>
      </c>
      <c r="DD142" s="3">
        <f t="shared" si="839"/>
        <v>650</v>
      </c>
      <c r="DE142" s="3">
        <f t="shared" si="839"/>
        <v>650</v>
      </c>
      <c r="DF142" s="3">
        <f t="shared" si="839"/>
        <v>650</v>
      </c>
      <c r="DG142" s="3">
        <f t="shared" si="839"/>
        <v>650</v>
      </c>
      <c r="DH142" s="3">
        <f t="shared" si="839"/>
        <v>650</v>
      </c>
      <c r="DI142" s="3">
        <f t="shared" si="839"/>
        <v>650</v>
      </c>
      <c r="DJ142" s="3">
        <f t="shared" si="839"/>
        <v>650</v>
      </c>
      <c r="DK142" s="3">
        <f t="shared" si="839"/>
        <v>650</v>
      </c>
      <c r="DL142" s="5">
        <v>51</v>
      </c>
      <c r="DM142" s="6">
        <f t="shared" si="840"/>
        <v>0.46296296296296291</v>
      </c>
      <c r="DQ142" s="94"/>
      <c r="DR142" s="95"/>
      <c r="DS142" s="5">
        <v>51</v>
      </c>
      <c r="DT142" s="6">
        <f t="shared" si="841"/>
        <v>0.46296296296296291</v>
      </c>
      <c r="DU142" s="3">
        <f t="shared" si="842"/>
        <v>600</v>
      </c>
      <c r="DV142" s="3">
        <f t="shared" si="842"/>
        <v>600</v>
      </c>
      <c r="DW142" s="3">
        <f t="shared" si="842"/>
        <v>600</v>
      </c>
      <c r="DX142" s="3">
        <f t="shared" si="842"/>
        <v>600</v>
      </c>
      <c r="DY142" s="3">
        <f t="shared" si="842"/>
        <v>600</v>
      </c>
      <c r="DZ142" s="3">
        <f t="shared" si="842"/>
        <v>600</v>
      </c>
      <c r="EA142" s="3">
        <f t="shared" si="842"/>
        <v>600</v>
      </c>
      <c r="EB142" s="3">
        <f t="shared" si="842"/>
        <v>600</v>
      </c>
      <c r="EC142" s="3">
        <f t="shared" si="842"/>
        <v>600</v>
      </c>
      <c r="ED142" s="3">
        <f t="shared" si="889"/>
        <v>79.189641854320641</v>
      </c>
      <c r="EE142" s="3">
        <f t="shared" si="890"/>
        <v>656.76598848260198</v>
      </c>
      <c r="EF142" s="3">
        <f t="shared" si="891"/>
        <v>661.87214477364716</v>
      </c>
      <c r="EG142" s="3">
        <f t="shared" si="892"/>
        <v>666.13869296565338</v>
      </c>
      <c r="EH142" s="3">
        <f t="shared" si="893"/>
        <v>669.57296294522189</v>
      </c>
      <c r="EI142" s="3">
        <f t="shared" si="894"/>
        <v>672.18520214301589</v>
      </c>
      <c r="EJ142" s="3">
        <f t="shared" si="895"/>
        <v>673.98561288409576</v>
      </c>
      <c r="EK142" s="3">
        <f t="shared" si="896"/>
        <v>674.98222860226235</v>
      </c>
      <c r="EL142" s="3">
        <f t="shared" si="897"/>
        <v>675.17911657756827</v>
      </c>
      <c r="EM142" s="3">
        <f t="shared" si="898"/>
        <v>674.57663419777668</v>
      </c>
      <c r="EN142" s="3">
        <f t="shared" si="899"/>
        <v>673.17151505520008</v>
      </c>
      <c r="EO142" s="3">
        <f t="shared" si="900"/>
        <v>670.95743470038065</v>
      </c>
      <c r="EP142" s="3">
        <f t="shared" si="901"/>
        <v>81.200232197052244</v>
      </c>
      <c r="EQ142" s="3">
        <f t="shared" si="844"/>
        <v>650</v>
      </c>
      <c r="ER142" s="3">
        <f t="shared" si="844"/>
        <v>650</v>
      </c>
      <c r="ES142" s="3">
        <f t="shared" si="844"/>
        <v>650</v>
      </c>
      <c r="ET142" s="3">
        <f t="shared" si="844"/>
        <v>650</v>
      </c>
      <c r="EU142" s="3">
        <f t="shared" si="844"/>
        <v>650</v>
      </c>
      <c r="EV142" s="3">
        <f t="shared" si="844"/>
        <v>650</v>
      </c>
      <c r="EW142" s="3">
        <f t="shared" si="844"/>
        <v>650</v>
      </c>
      <c r="EX142" s="3">
        <f t="shared" si="844"/>
        <v>650</v>
      </c>
      <c r="EY142" s="3">
        <f t="shared" si="844"/>
        <v>650</v>
      </c>
      <c r="EZ142" s="5">
        <v>51</v>
      </c>
      <c r="FA142" s="6">
        <f t="shared" si="845"/>
        <v>0.46296296296296291</v>
      </c>
    </row>
    <row r="143" spans="3:157" x14ac:dyDescent="0.3">
      <c r="C143" s="94"/>
      <c r="D143" s="95"/>
      <c r="E143" s="5">
        <v>50</v>
      </c>
      <c r="F143" s="6">
        <f t="shared" si="816"/>
        <v>0.45370370370370366</v>
      </c>
      <c r="G143" s="3">
        <f t="shared" si="817"/>
        <v>600</v>
      </c>
      <c r="H143" s="3">
        <f t="shared" si="817"/>
        <v>600</v>
      </c>
      <c r="I143" s="3">
        <f t="shared" si="817"/>
        <v>600</v>
      </c>
      <c r="J143" s="3">
        <f t="shared" si="817"/>
        <v>600</v>
      </c>
      <c r="K143" s="3">
        <f t="shared" si="817"/>
        <v>600</v>
      </c>
      <c r="L143" s="3">
        <f t="shared" si="817"/>
        <v>600</v>
      </c>
      <c r="M143" s="3">
        <f t="shared" si="817"/>
        <v>600</v>
      </c>
      <c r="N143" s="3">
        <f t="shared" si="817"/>
        <v>600</v>
      </c>
      <c r="O143" s="3">
        <f t="shared" si="817"/>
        <v>600</v>
      </c>
      <c r="P143" s="3">
        <f t="shared" ref="P143:P184" si="914">$R$2</f>
        <v>600</v>
      </c>
      <c r="Q143" s="3">
        <f t="shared" si="902"/>
        <v>715.53605517862729</v>
      </c>
      <c r="R143" s="3">
        <f t="shared" si="903"/>
        <v>719.68522493189369</v>
      </c>
      <c r="S143" s="3">
        <f t="shared" si="904"/>
        <v>723.65451532126269</v>
      </c>
      <c r="T143" s="3">
        <f t="shared" si="905"/>
        <v>726.95079535255627</v>
      </c>
      <c r="U143" s="3">
        <f t="shared" si="906"/>
        <v>729.56798410631848</v>
      </c>
      <c r="V143" s="3">
        <f t="shared" si="907"/>
        <v>731.50569942509333</v>
      </c>
      <c r="W143" s="3">
        <f t="shared" si="908"/>
        <v>732.77346324928158</v>
      </c>
      <c r="X143" s="3">
        <f t="shared" si="909"/>
        <v>733.36602076866859</v>
      </c>
      <c r="Y143" s="3">
        <f t="shared" si="910"/>
        <v>733.29117253674735</v>
      </c>
      <c r="Z143" s="3">
        <f t="shared" si="911"/>
        <v>732.56004751679404</v>
      </c>
      <c r="AA143" s="3">
        <f t="shared" si="912"/>
        <v>731.75391567481324</v>
      </c>
      <c r="AB143" s="3">
        <f t="shared" ref="AB143:AB184" si="915">$R$3</f>
        <v>650</v>
      </c>
      <c r="AC143" s="3">
        <f t="shared" si="819"/>
        <v>650</v>
      </c>
      <c r="AD143" s="3">
        <f t="shared" si="819"/>
        <v>650</v>
      </c>
      <c r="AE143" s="3">
        <f t="shared" si="819"/>
        <v>650</v>
      </c>
      <c r="AF143" s="3">
        <f t="shared" si="819"/>
        <v>650</v>
      </c>
      <c r="AG143" s="3">
        <f t="shared" si="819"/>
        <v>650</v>
      </c>
      <c r="AH143" s="3">
        <f t="shared" si="819"/>
        <v>650</v>
      </c>
      <c r="AI143" s="3">
        <f t="shared" si="819"/>
        <v>650</v>
      </c>
      <c r="AJ143" s="3">
        <f t="shared" si="819"/>
        <v>650</v>
      </c>
      <c r="AK143" s="3">
        <f t="shared" si="819"/>
        <v>650</v>
      </c>
      <c r="AL143" s="5">
        <v>50</v>
      </c>
      <c r="AM143" s="6">
        <f t="shared" si="820"/>
        <v>0.45370370370370366</v>
      </c>
      <c r="AP143" s="102"/>
      <c r="AQ143" s="101"/>
      <c r="AR143" s="5">
        <v>50</v>
      </c>
      <c r="AS143" s="6">
        <f t="shared" si="821"/>
        <v>0.45370370370370366</v>
      </c>
      <c r="AT143" s="3">
        <f t="shared" si="822"/>
        <v>600</v>
      </c>
      <c r="AU143" s="3">
        <f t="shared" si="822"/>
        <v>600</v>
      </c>
      <c r="AV143" s="3">
        <f t="shared" si="822"/>
        <v>600</v>
      </c>
      <c r="AW143" s="3">
        <f t="shared" si="822"/>
        <v>600</v>
      </c>
      <c r="AX143" s="3">
        <f t="shared" si="822"/>
        <v>600</v>
      </c>
      <c r="AY143" s="3">
        <f t="shared" si="822"/>
        <v>600</v>
      </c>
      <c r="AZ143" s="3">
        <f t="shared" si="822"/>
        <v>600</v>
      </c>
      <c r="BA143" s="3">
        <f t="shared" si="822"/>
        <v>600</v>
      </c>
      <c r="BB143" s="3">
        <f t="shared" si="822"/>
        <v>600</v>
      </c>
      <c r="BC143" s="3">
        <f t="shared" ref="BC143:BC184" si="916">$R$2</f>
        <v>600</v>
      </c>
      <c r="BD143" s="3">
        <f t="shared" ref="BD143" si="917">-($F$3*$F$2)/$B$8*Q79</f>
        <v>-2558699759.3716526</v>
      </c>
      <c r="BE143" s="3">
        <f t="shared" ref="BE143" si="918">-($F$3*$F$2)/$B$8*R79</f>
        <v>-2577779351.9674897</v>
      </c>
      <c r="BF143" s="3">
        <f t="shared" ref="BF143" si="919">-($F$3*$F$2)/$B$8*S79</f>
        <v>-2593001560.0909991</v>
      </c>
      <c r="BG143" s="3">
        <f t="shared" ref="BG143" si="920">-($F$3*$F$2)/$B$8*T79</f>
        <v>-2605216067.0843673</v>
      </c>
      <c r="BH143" s="3">
        <f t="shared" ref="BH143" si="921">-($F$3*$F$2)/$B$8*U79</f>
        <v>-2614758676.1565495</v>
      </c>
      <c r="BI143" s="3">
        <f t="shared" ref="BI143" si="922">-($F$3*$F$2)/$B$8*V79</f>
        <v>-2621761244.9613857</v>
      </c>
      <c r="BJ143" s="3">
        <f t="shared" ref="BJ143" si="923">-($F$3*$F$2)/$B$8*W79</f>
        <v>-2626267150.5831304</v>
      </c>
      <c r="BK143" s="3">
        <f t="shared" ref="BK143" si="924">-($F$3*$F$2)/$B$8*X79</f>
        <v>-2628239273.5653553</v>
      </c>
      <c r="BL143" s="3">
        <f t="shared" ref="BL143" si="925">-($F$3*$F$2)/$B$8*Y79</f>
        <v>-2627544168.0535889</v>
      </c>
      <c r="BM143" s="3">
        <f t="shared" ref="BM143" si="926">-($F$3*$F$2)/$B$8*Z79</f>
        <v>-2623812152.087131</v>
      </c>
      <c r="BN143" s="3">
        <f t="shared" ref="BN143" si="927">-($F$3*$F$2)/$B$8*AA79</f>
        <v>-2616082314.2095652</v>
      </c>
      <c r="BO143" s="3">
        <f t="shared" ref="BO143:BO184" si="928">$R$3</f>
        <v>650</v>
      </c>
      <c r="BP143" s="3">
        <f t="shared" si="835"/>
        <v>650</v>
      </c>
      <c r="BQ143" s="3">
        <f t="shared" si="835"/>
        <v>650</v>
      </c>
      <c r="BR143" s="3">
        <f t="shared" si="835"/>
        <v>650</v>
      </c>
      <c r="BS143" s="3">
        <f t="shared" si="835"/>
        <v>650</v>
      </c>
      <c r="BT143" s="3">
        <f t="shared" si="835"/>
        <v>650</v>
      </c>
      <c r="BU143" s="3">
        <f t="shared" si="835"/>
        <v>650</v>
      </c>
      <c r="BV143" s="3">
        <f t="shared" si="835"/>
        <v>650</v>
      </c>
      <c r="BW143" s="3">
        <f t="shared" si="835"/>
        <v>650</v>
      </c>
      <c r="BX143" s="3">
        <f t="shared" si="835"/>
        <v>650</v>
      </c>
      <c r="BY143" s="5">
        <v>50</v>
      </c>
      <c r="BZ143" s="6">
        <f t="shared" si="836"/>
        <v>0.45370370370370366</v>
      </c>
      <c r="CC143" s="94"/>
      <c r="CD143" s="95"/>
      <c r="CE143" s="5">
        <v>50</v>
      </c>
      <c r="CF143" s="6">
        <f t="shared" si="837"/>
        <v>0.45370370370370366</v>
      </c>
      <c r="CG143" s="3">
        <f t="shared" si="838"/>
        <v>600</v>
      </c>
      <c r="CH143" s="3">
        <f t="shared" si="838"/>
        <v>600</v>
      </c>
      <c r="CI143" s="3">
        <f t="shared" si="838"/>
        <v>600</v>
      </c>
      <c r="CJ143" s="3">
        <f t="shared" si="838"/>
        <v>600</v>
      </c>
      <c r="CK143" s="3">
        <f t="shared" si="838"/>
        <v>600</v>
      </c>
      <c r="CL143" s="3">
        <f t="shared" si="838"/>
        <v>600</v>
      </c>
      <c r="CM143" s="3">
        <f t="shared" si="838"/>
        <v>600</v>
      </c>
      <c r="CN143" s="3">
        <f t="shared" si="838"/>
        <v>600</v>
      </c>
      <c r="CO143" s="3">
        <f t="shared" si="838"/>
        <v>600</v>
      </c>
      <c r="CP143" s="3">
        <f t="shared" ref="CP143:CP184" si="929">$R$2</f>
        <v>600</v>
      </c>
      <c r="CQ143" s="3">
        <f t="shared" ref="CQ143:CQ144" si="930">$O$2/($O$3-$O$4*CQ142)</f>
        <v>0.11667843057151663</v>
      </c>
      <c r="CR143" s="3">
        <f t="shared" ref="CR143:CR144" si="931">$O$2/($O$3-$O$4*CR142)</f>
        <v>0.11667843057151663</v>
      </c>
      <c r="CS143" s="3">
        <f t="shared" ref="CS143:CS144" si="932">$O$2/($O$3-$O$4*CS142)</f>
        <v>0.11667843057151663</v>
      </c>
      <c r="CT143" s="3">
        <f t="shared" ref="CT143:CT144" si="933">$O$2/($O$3-$O$4*CT142)</f>
        <v>0.11667843057151663</v>
      </c>
      <c r="CU143" s="3">
        <f t="shared" ref="CU143:CU144" si="934">$O$2/($O$3-$O$4*CU142)</f>
        <v>0.11667843057151663</v>
      </c>
      <c r="CV143" s="3">
        <f t="shared" ref="CV143:CV144" si="935">$O$2/($O$3-$O$4*CV142)</f>
        <v>0.11667843057151663</v>
      </c>
      <c r="CW143" s="3">
        <f t="shared" ref="CW143:CW144" si="936">$O$2/($O$3-$O$4*CW142)</f>
        <v>0.11667843057151663</v>
      </c>
      <c r="CX143" s="3">
        <f t="shared" ref="CX143:CX144" si="937">$O$2/($O$3-$O$4*CX142)</f>
        <v>0.11667843057151663</v>
      </c>
      <c r="CY143" s="3">
        <f t="shared" ref="CY143:CY144" si="938">$O$2/($O$3-$O$4*CY142)</f>
        <v>0.11667843057151663</v>
      </c>
      <c r="CZ143" s="3">
        <f t="shared" ref="CZ143:CZ144" si="939">$O$2/($O$3-$O$4*CZ142)</f>
        <v>0.11667843057151663</v>
      </c>
      <c r="DA143" s="3">
        <f t="shared" ref="DA143:DA144" si="940">$O$2/($O$3-$O$4*DA142)</f>
        <v>0.11667843057151663</v>
      </c>
      <c r="DB143" s="3">
        <f t="shared" ref="DB143:DB184" si="941">$R$3</f>
        <v>650</v>
      </c>
      <c r="DC143" s="3">
        <f t="shared" si="839"/>
        <v>650</v>
      </c>
      <c r="DD143" s="3">
        <f t="shared" si="839"/>
        <v>650</v>
      </c>
      <c r="DE143" s="3">
        <f t="shared" si="839"/>
        <v>650</v>
      </c>
      <c r="DF143" s="3">
        <f t="shared" si="839"/>
        <v>650</v>
      </c>
      <c r="DG143" s="3">
        <f t="shared" si="839"/>
        <v>650</v>
      </c>
      <c r="DH143" s="3">
        <f t="shared" si="839"/>
        <v>650</v>
      </c>
      <c r="DI143" s="3">
        <f t="shared" si="839"/>
        <v>650</v>
      </c>
      <c r="DJ143" s="3">
        <f t="shared" si="839"/>
        <v>650</v>
      </c>
      <c r="DK143" s="3">
        <f t="shared" si="839"/>
        <v>650</v>
      </c>
      <c r="DL143" s="5">
        <v>50</v>
      </c>
      <c r="DM143" s="6">
        <f t="shared" si="840"/>
        <v>0.45370370370370366</v>
      </c>
      <c r="DQ143" s="94"/>
      <c r="DR143" s="95"/>
      <c r="DS143" s="5">
        <v>50</v>
      </c>
      <c r="DT143" s="6">
        <f t="shared" si="841"/>
        <v>0.45370370370370366</v>
      </c>
      <c r="DU143" s="3">
        <f t="shared" si="842"/>
        <v>600</v>
      </c>
      <c r="DV143" s="3">
        <f t="shared" si="842"/>
        <v>600</v>
      </c>
      <c r="DW143" s="3">
        <f t="shared" si="842"/>
        <v>600</v>
      </c>
      <c r="DX143" s="3">
        <f t="shared" si="842"/>
        <v>600</v>
      </c>
      <c r="DY143" s="3">
        <f t="shared" si="842"/>
        <v>600</v>
      </c>
      <c r="DZ143" s="3">
        <f t="shared" si="842"/>
        <v>600</v>
      </c>
      <c r="EA143" s="3">
        <f t="shared" si="842"/>
        <v>600</v>
      </c>
      <c r="EB143" s="3">
        <f t="shared" si="842"/>
        <v>600</v>
      </c>
      <c r="EC143" s="3">
        <f t="shared" si="842"/>
        <v>600</v>
      </c>
      <c r="ED143" s="3">
        <f t="shared" ref="ED143:ED184" si="942">$R$2</f>
        <v>600</v>
      </c>
      <c r="EE143" s="3">
        <f t="shared" ref="EE143:EE144" si="943">(EE142*$O$4-BD143)/($O$3-$O$4*CQ142)</f>
        <v>633.05277268059592</v>
      </c>
      <c r="EF143" s="3">
        <f t="shared" ref="EF143:EF144" si="944">(EF142*$O$4-BE143)/($O$3-$O$4*CR142)</f>
        <v>637.7976551011451</v>
      </c>
      <c r="EG143" s="3">
        <f t="shared" ref="EG143:EG144" si="945">(EG142*$O$4-BF143)/($O$3-$O$4*CS142)</f>
        <v>641.60573523506253</v>
      </c>
      <c r="EH143" s="3">
        <f t="shared" ref="EH143:EH144" si="946">(EH142*$O$4-BG143)/($O$3-$O$4*CT142)</f>
        <v>644.6626429515851</v>
      </c>
      <c r="EI143" s="3">
        <f t="shared" ref="EI143:EI144" si="947">(EI142*$O$4-BH143)/($O$3-$O$4*CU142)</f>
        <v>647.04259865472386</v>
      </c>
      <c r="EJ143" s="3">
        <f t="shared" ref="EJ143:EJ144" si="948">(EJ142*$O$4-BI143)/($O$3-$O$4*CV142)</f>
        <v>648.77546688756536</v>
      </c>
      <c r="EK143" s="3">
        <f t="shared" ref="EK143:EK144" si="949">(EK142*$O$4-BJ143)/($O$3-$O$4*CW142)</f>
        <v>649.87161788641527</v>
      </c>
      <c r="EL143" s="3">
        <f t="shared" ref="EL143:EL144" si="950">(EL142*$O$4-BK143)/($O$3-$O$4*CX142)</f>
        <v>650.3234541093542</v>
      </c>
      <c r="EM143" s="3">
        <f t="shared" ref="EM143:EM144" si="951">(EM142*$O$4-BL143)/($O$3-$O$4*CY142)</f>
        <v>650.10199772925159</v>
      </c>
      <c r="EN143" s="3">
        <f t="shared" ref="EN143:EN144" si="952">(EN142*$O$4-BM143)/($O$3-$O$4*CZ142)</f>
        <v>649.12647550426527</v>
      </c>
      <c r="EO143" s="3">
        <f t="shared" ref="EO143:EO144" si="953">(EO142*$O$4-BN143)/($O$3-$O$4*DA142)</f>
        <v>647.18718688631418</v>
      </c>
      <c r="EP143" s="3">
        <f t="shared" ref="EP143:EP184" si="954">$R$3</f>
        <v>650</v>
      </c>
      <c r="EQ143" s="3">
        <f t="shared" si="844"/>
        <v>650</v>
      </c>
      <c r="ER143" s="3">
        <f t="shared" si="844"/>
        <v>650</v>
      </c>
      <c r="ES143" s="3">
        <f t="shared" si="844"/>
        <v>650</v>
      </c>
      <c r="ET143" s="3">
        <f t="shared" si="844"/>
        <v>650</v>
      </c>
      <c r="EU143" s="3">
        <f t="shared" si="844"/>
        <v>650</v>
      </c>
      <c r="EV143" s="3">
        <f t="shared" si="844"/>
        <v>650</v>
      </c>
      <c r="EW143" s="3">
        <f t="shared" si="844"/>
        <v>650</v>
      </c>
      <c r="EX143" s="3">
        <f t="shared" si="844"/>
        <v>650</v>
      </c>
      <c r="EY143" s="3">
        <f t="shared" si="844"/>
        <v>650</v>
      </c>
      <c r="EZ143" s="5">
        <v>50</v>
      </c>
      <c r="FA143" s="6">
        <f t="shared" si="845"/>
        <v>0.45370370370370366</v>
      </c>
    </row>
    <row r="144" spans="3:157" x14ac:dyDescent="0.3">
      <c r="C144" s="94"/>
      <c r="D144" s="95"/>
      <c r="E144" s="5">
        <v>49</v>
      </c>
      <c r="F144" s="6">
        <f t="shared" si="816"/>
        <v>0.44444444444444442</v>
      </c>
      <c r="G144" s="3">
        <f t="shared" si="817"/>
        <v>600</v>
      </c>
      <c r="H144" s="3">
        <f t="shared" si="817"/>
        <v>600</v>
      </c>
      <c r="I144" s="3">
        <f t="shared" si="817"/>
        <v>600</v>
      </c>
      <c r="J144" s="3">
        <f t="shared" si="817"/>
        <v>600</v>
      </c>
      <c r="K144" s="3">
        <f t="shared" si="817"/>
        <v>600</v>
      </c>
      <c r="L144" s="3">
        <f t="shared" si="817"/>
        <v>600</v>
      </c>
      <c r="M144" s="3">
        <f t="shared" si="817"/>
        <v>600</v>
      </c>
      <c r="N144" s="3">
        <f t="shared" si="817"/>
        <v>600</v>
      </c>
      <c r="O144" s="3">
        <f t="shared" si="817"/>
        <v>600</v>
      </c>
      <c r="P144" s="3">
        <f t="shared" si="914"/>
        <v>600</v>
      </c>
      <c r="Q144" s="3">
        <f t="shared" ref="Q144" si="955">($F$5*$B$5*Q18+$F$4*Q79)/($F$4+$F$5*$B$5)</f>
        <v>706.9282822370003</v>
      </c>
      <c r="R144" s="3">
        <f t="shared" ref="R144" si="956">CR144*R145+EF144</f>
        <v>701.82268847502746</v>
      </c>
      <c r="S144" s="3">
        <f t="shared" ref="S144" si="957">CS144*S145+EG144</f>
        <v>703.20435134675017</v>
      </c>
      <c r="T144" s="3">
        <f t="shared" ref="T144" si="958">CT144*T145+EH144</f>
        <v>705.25590717929344</v>
      </c>
      <c r="U144" s="3">
        <f t="shared" ref="U144" si="959">CU144*U145+EI144</f>
        <v>707.28912831075195</v>
      </c>
      <c r="V144" s="3">
        <f t="shared" ref="V144" si="960">CV144*V145+EJ144</f>
        <v>709.04478344709582</v>
      </c>
      <c r="W144" s="3">
        <f t="shared" ref="W144" si="961">CW144*W145+EK144</f>
        <v>710.51560221366447</v>
      </c>
      <c r="X144" s="3">
        <f t="shared" ref="X144" si="962">CX144*X145+EL144</f>
        <v>711.72166314333867</v>
      </c>
      <c r="Y144" s="3">
        <f t="shared" ref="Y144" si="963">CY144*Y145+EM144</f>
        <v>712.97817771474001</v>
      </c>
      <c r="Z144" s="3">
        <f t="shared" ref="Z144" si="964">CZ144*Z145+EN144</f>
        <v>715.07279969273509</v>
      </c>
      <c r="AA144" s="3">
        <f t="shared" ref="AA144" si="965">($F$5*$B$5*AA18+$F$4*AA79)/($F$4+$F$5*$B$5)</f>
        <v>724.7845927843955</v>
      </c>
      <c r="AB144" s="3">
        <f t="shared" si="915"/>
        <v>650</v>
      </c>
      <c r="AC144" s="3">
        <f t="shared" si="819"/>
        <v>650</v>
      </c>
      <c r="AD144" s="3">
        <f t="shared" si="819"/>
        <v>650</v>
      </c>
      <c r="AE144" s="3">
        <f t="shared" si="819"/>
        <v>650</v>
      </c>
      <c r="AF144" s="3">
        <f t="shared" si="819"/>
        <v>650</v>
      </c>
      <c r="AG144" s="3">
        <f t="shared" si="819"/>
        <v>650</v>
      </c>
      <c r="AH144" s="3">
        <f t="shared" si="819"/>
        <v>650</v>
      </c>
      <c r="AI144" s="3">
        <f t="shared" si="819"/>
        <v>650</v>
      </c>
      <c r="AJ144" s="3">
        <f t="shared" si="819"/>
        <v>650</v>
      </c>
      <c r="AK144" s="3">
        <f t="shared" si="819"/>
        <v>650</v>
      </c>
      <c r="AL144" s="5">
        <v>49</v>
      </c>
      <c r="AM144" s="6">
        <f t="shared" si="820"/>
        <v>0.44444444444444442</v>
      </c>
      <c r="AP144" s="102"/>
      <c r="AQ144" s="101"/>
      <c r="AR144" s="5">
        <v>49</v>
      </c>
      <c r="AS144" s="6">
        <f t="shared" si="821"/>
        <v>0.44444444444444442</v>
      </c>
      <c r="AT144" s="3">
        <f t="shared" si="822"/>
        <v>600</v>
      </c>
      <c r="AU144" s="3">
        <f t="shared" si="822"/>
        <v>600</v>
      </c>
      <c r="AV144" s="3">
        <f t="shared" si="822"/>
        <v>600</v>
      </c>
      <c r="AW144" s="3">
        <f t="shared" si="822"/>
        <v>600</v>
      </c>
      <c r="AX144" s="3">
        <f t="shared" si="822"/>
        <v>600</v>
      </c>
      <c r="AY144" s="3">
        <f t="shared" si="822"/>
        <v>600</v>
      </c>
      <c r="AZ144" s="3">
        <f t="shared" si="822"/>
        <v>600</v>
      </c>
      <c r="BA144" s="3">
        <f t="shared" si="822"/>
        <v>600</v>
      </c>
      <c r="BB144" s="3">
        <f t="shared" si="822"/>
        <v>600</v>
      </c>
      <c r="BC144" s="3">
        <f t="shared" si="916"/>
        <v>600</v>
      </c>
      <c r="BD144" s="7"/>
      <c r="BE144" s="3">
        <f t="shared" ref="BE144" si="966">-($F$3*$F$2)/$B$8*R80</f>
        <v>-2512365491.1554379</v>
      </c>
      <c r="BF144" s="3">
        <f t="shared" ref="BF144" si="967">-($F$3*$F$2)/$B$8*S80</f>
        <v>-2521606141.6080751</v>
      </c>
      <c r="BG144" s="3">
        <f t="shared" ref="BG144" si="968">-($F$3*$F$2)/$B$8*T80</f>
        <v>-2529554866.1439624</v>
      </c>
      <c r="BH144" s="3">
        <f t="shared" ref="BH144" si="969">-($F$3*$F$2)/$B$8*U80</f>
        <v>-2536721049.9643378</v>
      </c>
      <c r="BI144" s="3">
        <f t="shared" ref="BI144" si="970">-($F$3*$F$2)/$B$8*V80</f>
        <v>-2542992887.2745385</v>
      </c>
      <c r="BJ144" s="3">
        <f t="shared" ref="BJ144" si="971">-($F$3*$F$2)/$B$8*W80</f>
        <v>-2548346588.589282</v>
      </c>
      <c r="BK144" s="3">
        <f t="shared" ref="BK144" si="972">-($F$3*$F$2)/$B$8*X80</f>
        <v>-2552848371.1079078</v>
      </c>
      <c r="BL144" s="3">
        <f t="shared" ref="BL144" si="973">-($F$3*$F$2)/$B$8*Y80</f>
        <v>-2556649410.7365637</v>
      </c>
      <c r="BM144" s="3">
        <f t="shared" ref="BM144" si="974">-($F$3*$F$2)/$B$8*Z80</f>
        <v>-2559136679.5210872</v>
      </c>
      <c r="BN144" s="7"/>
      <c r="BO144" s="3">
        <f t="shared" si="928"/>
        <v>650</v>
      </c>
      <c r="BP144" s="3">
        <f t="shared" si="835"/>
        <v>650</v>
      </c>
      <c r="BQ144" s="3">
        <f t="shared" si="835"/>
        <v>650</v>
      </c>
      <c r="BR144" s="3">
        <f t="shared" si="835"/>
        <v>650</v>
      </c>
      <c r="BS144" s="3">
        <f t="shared" si="835"/>
        <v>650</v>
      </c>
      <c r="BT144" s="3">
        <f t="shared" si="835"/>
        <v>650</v>
      </c>
      <c r="BU144" s="3">
        <f t="shared" si="835"/>
        <v>650</v>
      </c>
      <c r="BV144" s="3">
        <f t="shared" si="835"/>
        <v>650</v>
      </c>
      <c r="BW144" s="3">
        <f t="shared" si="835"/>
        <v>650</v>
      </c>
      <c r="BX144" s="3">
        <f t="shared" si="835"/>
        <v>650</v>
      </c>
      <c r="BY144" s="5">
        <v>49</v>
      </c>
      <c r="BZ144" s="6">
        <f t="shared" si="836"/>
        <v>0.44444444444444442</v>
      </c>
      <c r="CC144" s="94"/>
      <c r="CD144" s="95"/>
      <c r="CE144" s="5">
        <v>49</v>
      </c>
      <c r="CF144" s="6">
        <f t="shared" si="837"/>
        <v>0.44444444444444442</v>
      </c>
      <c r="CG144" s="3">
        <f t="shared" si="838"/>
        <v>600</v>
      </c>
      <c r="CH144" s="3">
        <f t="shared" si="838"/>
        <v>600</v>
      </c>
      <c r="CI144" s="3">
        <f t="shared" si="838"/>
        <v>600</v>
      </c>
      <c r="CJ144" s="3">
        <f t="shared" si="838"/>
        <v>600</v>
      </c>
      <c r="CK144" s="3">
        <f t="shared" si="838"/>
        <v>600</v>
      </c>
      <c r="CL144" s="3">
        <f t="shared" si="838"/>
        <v>600</v>
      </c>
      <c r="CM144" s="3">
        <f t="shared" si="838"/>
        <v>600</v>
      </c>
      <c r="CN144" s="3">
        <f t="shared" si="838"/>
        <v>600</v>
      </c>
      <c r="CO144" s="3">
        <f t="shared" si="838"/>
        <v>600</v>
      </c>
      <c r="CP144" s="3">
        <f t="shared" si="929"/>
        <v>600</v>
      </c>
      <c r="CQ144" s="3">
        <f t="shared" si="930"/>
        <v>0.1166784306246039</v>
      </c>
      <c r="CR144" s="3">
        <f t="shared" si="931"/>
        <v>0.1166784306246039</v>
      </c>
      <c r="CS144" s="3">
        <f t="shared" si="932"/>
        <v>0.1166784306246039</v>
      </c>
      <c r="CT144" s="3">
        <f t="shared" si="933"/>
        <v>0.1166784306246039</v>
      </c>
      <c r="CU144" s="3">
        <f t="shared" si="934"/>
        <v>0.1166784306246039</v>
      </c>
      <c r="CV144" s="3">
        <f t="shared" si="935"/>
        <v>0.1166784306246039</v>
      </c>
      <c r="CW144" s="3">
        <f t="shared" si="936"/>
        <v>0.1166784306246039</v>
      </c>
      <c r="CX144" s="3">
        <f t="shared" si="937"/>
        <v>0.1166784306246039</v>
      </c>
      <c r="CY144" s="3">
        <f t="shared" si="938"/>
        <v>0.1166784306246039</v>
      </c>
      <c r="CZ144" s="3">
        <f t="shared" si="939"/>
        <v>0.1166784306246039</v>
      </c>
      <c r="DA144" s="3">
        <f t="shared" si="940"/>
        <v>0.1166784306246039</v>
      </c>
      <c r="DB144" s="3">
        <f t="shared" si="941"/>
        <v>650</v>
      </c>
      <c r="DC144" s="3">
        <f t="shared" si="839"/>
        <v>650</v>
      </c>
      <c r="DD144" s="3">
        <f t="shared" si="839"/>
        <v>650</v>
      </c>
      <c r="DE144" s="3">
        <f t="shared" si="839"/>
        <v>650</v>
      </c>
      <c r="DF144" s="3">
        <f t="shared" si="839"/>
        <v>650</v>
      </c>
      <c r="DG144" s="3">
        <f t="shared" si="839"/>
        <v>650</v>
      </c>
      <c r="DH144" s="3">
        <f t="shared" si="839"/>
        <v>650</v>
      </c>
      <c r="DI144" s="3">
        <f t="shared" si="839"/>
        <v>650</v>
      </c>
      <c r="DJ144" s="3">
        <f t="shared" si="839"/>
        <v>650</v>
      </c>
      <c r="DK144" s="3">
        <f t="shared" si="839"/>
        <v>650</v>
      </c>
      <c r="DL144" s="5">
        <v>49</v>
      </c>
      <c r="DM144" s="6">
        <f t="shared" si="840"/>
        <v>0.44444444444444442</v>
      </c>
      <c r="DQ144" s="94"/>
      <c r="DR144" s="95"/>
      <c r="DS144" s="5">
        <v>49</v>
      </c>
      <c r="DT144" s="6">
        <f t="shared" si="841"/>
        <v>0.44444444444444442</v>
      </c>
      <c r="DU144" s="3">
        <f t="shared" si="842"/>
        <v>600</v>
      </c>
      <c r="DV144" s="3">
        <f t="shared" si="842"/>
        <v>600</v>
      </c>
      <c r="DW144" s="3">
        <f t="shared" si="842"/>
        <v>600</v>
      </c>
      <c r="DX144" s="3">
        <f t="shared" si="842"/>
        <v>600</v>
      </c>
      <c r="DY144" s="3">
        <f t="shared" si="842"/>
        <v>600</v>
      </c>
      <c r="DZ144" s="3">
        <f t="shared" si="842"/>
        <v>600</v>
      </c>
      <c r="EA144" s="3">
        <f t="shared" si="842"/>
        <v>600</v>
      </c>
      <c r="EB144" s="3">
        <f t="shared" si="842"/>
        <v>600</v>
      </c>
      <c r="EC144" s="3">
        <f t="shared" si="842"/>
        <v>600</v>
      </c>
      <c r="ED144" s="3">
        <f t="shared" si="942"/>
        <v>600</v>
      </c>
      <c r="EE144" s="3">
        <f t="shared" si="943"/>
        <v>73.86360401892604</v>
      </c>
      <c r="EF144" s="3">
        <f t="shared" si="944"/>
        <v>620.76359184558089</v>
      </c>
      <c r="EG144" s="3">
        <f t="shared" si="945"/>
        <v>623.21741158718623</v>
      </c>
      <c r="EH144" s="3">
        <f t="shared" si="946"/>
        <v>625.30263971405395</v>
      </c>
      <c r="EI144" s="3">
        <f t="shared" si="947"/>
        <v>627.13870854509923</v>
      </c>
      <c r="EJ144" s="3">
        <f t="shared" si="948"/>
        <v>628.70478901257763</v>
      </c>
      <c r="EK144" s="3">
        <f t="shared" si="949"/>
        <v>629.99691776820009</v>
      </c>
      <c r="EL144" s="3">
        <f t="shared" si="950"/>
        <v>631.02860812892186</v>
      </c>
      <c r="EM144" s="3">
        <f t="shared" si="951"/>
        <v>631.82935416293424</v>
      </c>
      <c r="EN144" s="3">
        <f t="shared" si="952"/>
        <v>632.25642051970374</v>
      </c>
      <c r="EO144" s="3">
        <f t="shared" si="953"/>
        <v>75.512785286247365</v>
      </c>
      <c r="EP144" s="3">
        <f t="shared" si="954"/>
        <v>650</v>
      </c>
      <c r="EQ144" s="3">
        <f t="shared" si="844"/>
        <v>650</v>
      </c>
      <c r="ER144" s="3">
        <f t="shared" si="844"/>
        <v>650</v>
      </c>
      <c r="ES144" s="3">
        <f t="shared" si="844"/>
        <v>650</v>
      </c>
      <c r="ET144" s="3">
        <f t="shared" si="844"/>
        <v>650</v>
      </c>
      <c r="EU144" s="3">
        <f t="shared" si="844"/>
        <v>650</v>
      </c>
      <c r="EV144" s="3">
        <f t="shared" si="844"/>
        <v>650</v>
      </c>
      <c r="EW144" s="3">
        <f t="shared" si="844"/>
        <v>650</v>
      </c>
      <c r="EX144" s="3">
        <f t="shared" si="844"/>
        <v>650</v>
      </c>
      <c r="EY144" s="3">
        <f t="shared" si="844"/>
        <v>650</v>
      </c>
      <c r="EZ144" s="5">
        <v>49</v>
      </c>
      <c r="FA144" s="6">
        <f t="shared" si="845"/>
        <v>0.44444444444444442</v>
      </c>
    </row>
    <row r="145" spans="3:157" x14ac:dyDescent="0.3">
      <c r="C145" s="94"/>
      <c r="D145" s="95"/>
      <c r="E145" s="5">
        <v>48</v>
      </c>
      <c r="F145" s="6">
        <f t="shared" si="816"/>
        <v>0.43518518518518517</v>
      </c>
      <c r="G145" s="3">
        <f t="shared" si="817"/>
        <v>600</v>
      </c>
      <c r="H145" s="3">
        <f t="shared" si="817"/>
        <v>600</v>
      </c>
      <c r="I145" s="3">
        <f t="shared" si="817"/>
        <v>600</v>
      </c>
      <c r="J145" s="3">
        <f t="shared" si="817"/>
        <v>600</v>
      </c>
      <c r="K145" s="3">
        <f t="shared" si="817"/>
        <v>600</v>
      </c>
      <c r="L145" s="3">
        <f t="shared" si="817"/>
        <v>600</v>
      </c>
      <c r="M145" s="3">
        <f t="shared" si="817"/>
        <v>600</v>
      </c>
      <c r="N145" s="3">
        <f t="shared" si="817"/>
        <v>600</v>
      </c>
      <c r="O145" s="3">
        <f t="shared" si="817"/>
        <v>600</v>
      </c>
      <c r="P145" s="3">
        <f t="shared" si="914"/>
        <v>600</v>
      </c>
      <c r="Q145" s="3">
        <f t="shared" ref="Q145:Q183" si="975">$R$2</f>
        <v>600</v>
      </c>
      <c r="R145" s="3">
        <f t="shared" ref="R145" si="976">($F$5*$B$5*R19+$F$4*R80)/($F$4+$F$5*$B$5)</f>
        <v>694.72220525696468</v>
      </c>
      <c r="S145" s="3">
        <f t="shared" ref="S145" si="977">CS145*S146+EG145</f>
        <v>685.53321579127498</v>
      </c>
      <c r="T145" s="3">
        <f t="shared" ref="T145" si="978">CT145*T146+EH145</f>
        <v>685.24462522535725</v>
      </c>
      <c r="U145" s="3">
        <f t="shared" ref="U145" si="979">CU145*U146+EI145</f>
        <v>686.93433170630465</v>
      </c>
      <c r="V145" s="3">
        <f t="shared" ref="V145" si="980">CV145*V146+EJ145</f>
        <v>688.55909360831743</v>
      </c>
      <c r="W145" s="3">
        <f t="shared" ref="W145" si="981">CW145*W146+EK145</f>
        <v>690.09056784901111</v>
      </c>
      <c r="X145" s="3">
        <f t="shared" ref="X145" si="982">CX145*X146+EL145</f>
        <v>691.58502203406488</v>
      </c>
      <c r="Y145" s="3">
        <f t="shared" ref="Y145" si="983">CY145*Y146+EM145</f>
        <v>695.49121562056712</v>
      </c>
      <c r="Z145" s="3">
        <f t="shared" ref="Z145" si="984">($F$5*$B$5*Z19+$F$4*Z80)/($F$4+$F$5*$B$5)</f>
        <v>709.78310840913787</v>
      </c>
      <c r="AA145" s="3">
        <f t="shared" ref="AA145:AA183" si="985">$R$3</f>
        <v>650</v>
      </c>
      <c r="AB145" s="3">
        <f t="shared" si="915"/>
        <v>650</v>
      </c>
      <c r="AC145" s="3">
        <f t="shared" si="819"/>
        <v>650</v>
      </c>
      <c r="AD145" s="3">
        <f t="shared" si="819"/>
        <v>650</v>
      </c>
      <c r="AE145" s="3">
        <f t="shared" si="819"/>
        <v>650</v>
      </c>
      <c r="AF145" s="3">
        <f t="shared" si="819"/>
        <v>650</v>
      </c>
      <c r="AG145" s="3">
        <f t="shared" si="819"/>
        <v>650</v>
      </c>
      <c r="AH145" s="3">
        <f t="shared" si="819"/>
        <v>650</v>
      </c>
      <c r="AI145" s="3">
        <f t="shared" si="819"/>
        <v>650</v>
      </c>
      <c r="AJ145" s="3">
        <f t="shared" si="819"/>
        <v>650</v>
      </c>
      <c r="AK145" s="3">
        <f t="shared" si="819"/>
        <v>650</v>
      </c>
      <c r="AL145" s="5">
        <v>48</v>
      </c>
      <c r="AM145" s="6">
        <f t="shared" si="820"/>
        <v>0.43518518518518517</v>
      </c>
      <c r="AP145" s="102"/>
      <c r="AQ145" s="101"/>
      <c r="AR145" s="5">
        <v>48</v>
      </c>
      <c r="AS145" s="6">
        <f t="shared" si="821"/>
        <v>0.43518518518518517</v>
      </c>
      <c r="AT145" s="3">
        <f t="shared" si="822"/>
        <v>600</v>
      </c>
      <c r="AU145" s="3">
        <f t="shared" si="822"/>
        <v>600</v>
      </c>
      <c r="AV145" s="3">
        <f t="shared" si="822"/>
        <v>600</v>
      </c>
      <c r="AW145" s="3">
        <f t="shared" si="822"/>
        <v>600</v>
      </c>
      <c r="AX145" s="3">
        <f t="shared" si="822"/>
        <v>600</v>
      </c>
      <c r="AY145" s="3">
        <f t="shared" si="822"/>
        <v>600</v>
      </c>
      <c r="AZ145" s="3">
        <f t="shared" si="822"/>
        <v>600</v>
      </c>
      <c r="BA145" s="3">
        <f t="shared" si="822"/>
        <v>600</v>
      </c>
      <c r="BB145" s="3">
        <f t="shared" si="822"/>
        <v>600</v>
      </c>
      <c r="BC145" s="3">
        <f t="shared" si="916"/>
        <v>600</v>
      </c>
      <c r="BD145" s="3">
        <f t="shared" ref="BD145:BD183" si="986">$R$2</f>
        <v>600</v>
      </c>
      <c r="BE145" s="7"/>
      <c r="BF145" s="3">
        <f t="shared" ref="BF145" si="987">-($F$3*$F$2)/$B$8*S81</f>
        <v>-2453589243.0452294</v>
      </c>
      <c r="BG145" s="3">
        <f t="shared" ref="BG145" si="988">-($F$3*$F$2)/$B$8*T81</f>
        <v>-2459012046.7245779</v>
      </c>
      <c r="BH145" s="3">
        <f t="shared" ref="BH145" si="989">-($F$3*$F$2)/$B$8*U81</f>
        <v>-2464742268.8572993</v>
      </c>
      <c r="BI145" s="3">
        <f t="shared" ref="BI145" si="990">-($F$3*$F$2)/$B$8*V81</f>
        <v>-2470491795.9430933</v>
      </c>
      <c r="BJ145" s="3">
        <f t="shared" ref="BJ145" si="991">-($F$3*$F$2)/$B$8*W81</f>
        <v>-2476191195.018065</v>
      </c>
      <c r="BK145" s="3">
        <f t="shared" ref="BK145" si="992">-($F$3*$F$2)/$B$8*X81</f>
        <v>-2482017673.9627962</v>
      </c>
      <c r="BL145" s="3">
        <f t="shared" ref="BL145" si="993">-($F$3*$F$2)/$B$8*Y81</f>
        <v>-2488373692.0038452</v>
      </c>
      <c r="BM145" s="7"/>
      <c r="BN145" s="3">
        <f t="shared" ref="BN145:BN183" si="994">$R$3</f>
        <v>650</v>
      </c>
      <c r="BO145" s="3">
        <f t="shared" si="928"/>
        <v>650</v>
      </c>
      <c r="BP145" s="3">
        <f t="shared" si="835"/>
        <v>650</v>
      </c>
      <c r="BQ145" s="3">
        <f t="shared" si="835"/>
        <v>650</v>
      </c>
      <c r="BR145" s="3">
        <f t="shared" si="835"/>
        <v>650</v>
      </c>
      <c r="BS145" s="3">
        <f t="shared" si="835"/>
        <v>650</v>
      </c>
      <c r="BT145" s="3">
        <f t="shared" si="835"/>
        <v>650</v>
      </c>
      <c r="BU145" s="3">
        <f t="shared" si="835"/>
        <v>650</v>
      </c>
      <c r="BV145" s="3">
        <f t="shared" si="835"/>
        <v>650</v>
      </c>
      <c r="BW145" s="3">
        <f t="shared" si="835"/>
        <v>650</v>
      </c>
      <c r="BX145" s="3">
        <f t="shared" si="835"/>
        <v>650</v>
      </c>
      <c r="BY145" s="5">
        <v>48</v>
      </c>
      <c r="BZ145" s="6">
        <f t="shared" si="836"/>
        <v>0.43518518518518517</v>
      </c>
      <c r="CC145" s="94"/>
      <c r="CD145" s="95"/>
      <c r="CE145" s="5">
        <v>48</v>
      </c>
      <c r="CF145" s="6">
        <f t="shared" si="837"/>
        <v>0.43518518518518517</v>
      </c>
      <c r="CG145" s="3">
        <f t="shared" si="838"/>
        <v>600</v>
      </c>
      <c r="CH145" s="3">
        <f t="shared" si="838"/>
        <v>600</v>
      </c>
      <c r="CI145" s="3">
        <f t="shared" si="838"/>
        <v>600</v>
      </c>
      <c r="CJ145" s="3">
        <f t="shared" si="838"/>
        <v>600</v>
      </c>
      <c r="CK145" s="3">
        <f t="shared" si="838"/>
        <v>600</v>
      </c>
      <c r="CL145" s="3">
        <f t="shared" si="838"/>
        <v>600</v>
      </c>
      <c r="CM145" s="3">
        <f t="shared" si="838"/>
        <v>600</v>
      </c>
      <c r="CN145" s="3">
        <f t="shared" si="838"/>
        <v>600</v>
      </c>
      <c r="CO145" s="3">
        <f t="shared" si="838"/>
        <v>600</v>
      </c>
      <c r="CP145" s="3">
        <f t="shared" si="929"/>
        <v>600</v>
      </c>
      <c r="CQ145" s="3">
        <f t="shared" ref="CQ145:CQ183" si="995">$R$2</f>
        <v>600</v>
      </c>
      <c r="CR145" s="3">
        <f t="shared" ref="CR145" si="996">$O$2/($O$3-$O$4*CR144)</f>
        <v>0.11667843062532661</v>
      </c>
      <c r="CS145" s="3">
        <f t="shared" ref="CS145" si="997">$O$2/($O$3-$O$4*CS144)</f>
        <v>0.11667843062532661</v>
      </c>
      <c r="CT145" s="3">
        <f t="shared" ref="CT145" si="998">$O$2/($O$3-$O$4*CT144)</f>
        <v>0.11667843062532661</v>
      </c>
      <c r="CU145" s="3">
        <f t="shared" ref="CU145" si="999">$O$2/($O$3-$O$4*CU144)</f>
        <v>0.11667843062532661</v>
      </c>
      <c r="CV145" s="3">
        <f t="shared" ref="CV145" si="1000">$O$2/($O$3-$O$4*CV144)</f>
        <v>0.11667843062532661</v>
      </c>
      <c r="CW145" s="3">
        <f t="shared" ref="CW145" si="1001">$O$2/($O$3-$O$4*CW144)</f>
        <v>0.11667843062532661</v>
      </c>
      <c r="CX145" s="3">
        <f t="shared" ref="CX145" si="1002">$O$2/($O$3-$O$4*CX144)</f>
        <v>0.11667843062532661</v>
      </c>
      <c r="CY145" s="3">
        <f t="shared" ref="CY145" si="1003">$O$2/($O$3-$O$4*CY144)</f>
        <v>0.11667843062532661</v>
      </c>
      <c r="CZ145" s="3">
        <f t="shared" ref="CZ145" si="1004">$O$2/($O$3-$O$4*CZ144)</f>
        <v>0.11667843062532661</v>
      </c>
      <c r="DA145" s="3">
        <f t="shared" ref="DA145:DA183" si="1005">$R$3</f>
        <v>650</v>
      </c>
      <c r="DB145" s="3">
        <f t="shared" si="941"/>
        <v>650</v>
      </c>
      <c r="DC145" s="3">
        <f t="shared" si="839"/>
        <v>650</v>
      </c>
      <c r="DD145" s="3">
        <f t="shared" si="839"/>
        <v>650</v>
      </c>
      <c r="DE145" s="3">
        <f t="shared" si="839"/>
        <v>650</v>
      </c>
      <c r="DF145" s="3">
        <f t="shared" si="839"/>
        <v>650</v>
      </c>
      <c r="DG145" s="3">
        <f t="shared" si="839"/>
        <v>650</v>
      </c>
      <c r="DH145" s="3">
        <f t="shared" si="839"/>
        <v>650</v>
      </c>
      <c r="DI145" s="3">
        <f t="shared" si="839"/>
        <v>650</v>
      </c>
      <c r="DJ145" s="3">
        <f t="shared" si="839"/>
        <v>650</v>
      </c>
      <c r="DK145" s="3">
        <f t="shared" si="839"/>
        <v>650</v>
      </c>
      <c r="DL145" s="5">
        <v>48</v>
      </c>
      <c r="DM145" s="6">
        <f t="shared" si="840"/>
        <v>0.43518518518518517</v>
      </c>
      <c r="DQ145" s="94"/>
      <c r="DR145" s="95"/>
      <c r="DS145" s="5">
        <v>48</v>
      </c>
      <c r="DT145" s="6">
        <f t="shared" si="841"/>
        <v>0.43518518518518517</v>
      </c>
      <c r="DU145" s="3">
        <f t="shared" si="842"/>
        <v>600</v>
      </c>
      <c r="DV145" s="3">
        <f t="shared" si="842"/>
        <v>600</v>
      </c>
      <c r="DW145" s="3">
        <f t="shared" si="842"/>
        <v>600</v>
      </c>
      <c r="DX145" s="3">
        <f t="shared" si="842"/>
        <v>600</v>
      </c>
      <c r="DY145" s="3">
        <f t="shared" si="842"/>
        <v>600</v>
      </c>
      <c r="DZ145" s="3">
        <f t="shared" si="842"/>
        <v>600</v>
      </c>
      <c r="EA145" s="3">
        <f t="shared" si="842"/>
        <v>600</v>
      </c>
      <c r="EB145" s="3">
        <f t="shared" si="842"/>
        <v>600</v>
      </c>
      <c r="EC145" s="3">
        <f t="shared" si="842"/>
        <v>600</v>
      </c>
      <c r="ED145" s="3">
        <f t="shared" si="942"/>
        <v>600</v>
      </c>
      <c r="EE145" s="3">
        <f t="shared" ref="EE145:EE183" si="1006">$R$2</f>
        <v>600</v>
      </c>
      <c r="EF145" s="3">
        <f t="shared" ref="EF145" si="1007">(EF144*$O$4-BE145)/($O$3-$O$4*CR144)</f>
        <v>72.429721685883166</v>
      </c>
      <c r="EG145" s="3">
        <f t="shared" ref="EG145" si="1008">(EG144*$O$4-BF145)/($O$3-$O$4*CS144)</f>
        <v>606.28073675551593</v>
      </c>
      <c r="EH145" s="3">
        <f t="shared" ref="EH145" si="1009">(EH144*$O$4-BG145)/($O$3-$O$4*CT144)</f>
        <v>607.70329668092791</v>
      </c>
      <c r="EI145" s="3">
        <f t="shared" ref="EI145" si="1010">(EI144*$O$4-BH145)/($O$3-$O$4*CU144)</f>
        <v>609.16363720851257</v>
      </c>
      <c r="EJ145" s="3">
        <f t="shared" ref="EJ145" si="1011">(EJ144*$O$4-BI145)/($O$3-$O$4*CV144)</f>
        <v>610.59667402921912</v>
      </c>
      <c r="EK145" s="3">
        <f t="shared" ref="EK145" si="1012">(EK144*$O$4-BJ145)/($O$3-$O$4*CW144)</f>
        <v>611.9868456099814</v>
      </c>
      <c r="EL145" s="3">
        <f t="shared" ref="EL145" si="1013">(EL144*$O$4-BK145)/($O$3-$O$4*CX144)</f>
        <v>613.37426480844795</v>
      </c>
      <c r="EM145" s="3">
        <f t="shared" ref="EM145" si="1014">(EM144*$O$4-BL145)/($O$3-$O$4*CY144)</f>
        <v>614.84989290905423</v>
      </c>
      <c r="EN145" s="3">
        <f t="shared" ref="EN145" si="1015">(EN144*$O$4-BM145)/($O$3-$O$4*CZ144)</f>
        <v>73.770686899025577</v>
      </c>
      <c r="EO145" s="3">
        <f t="shared" ref="EO145:EO183" si="1016">$R$3</f>
        <v>650</v>
      </c>
      <c r="EP145" s="3">
        <f t="shared" si="954"/>
        <v>650</v>
      </c>
      <c r="EQ145" s="3">
        <f t="shared" si="844"/>
        <v>650</v>
      </c>
      <c r="ER145" s="3">
        <f t="shared" si="844"/>
        <v>650</v>
      </c>
      <c r="ES145" s="3">
        <f t="shared" si="844"/>
        <v>650</v>
      </c>
      <c r="ET145" s="3">
        <f t="shared" si="844"/>
        <v>650</v>
      </c>
      <c r="EU145" s="3">
        <f t="shared" si="844"/>
        <v>650</v>
      </c>
      <c r="EV145" s="3">
        <f t="shared" si="844"/>
        <v>650</v>
      </c>
      <c r="EW145" s="3">
        <f t="shared" si="844"/>
        <v>650</v>
      </c>
      <c r="EX145" s="3">
        <f t="shared" si="844"/>
        <v>650</v>
      </c>
      <c r="EY145" s="3">
        <f t="shared" si="844"/>
        <v>650</v>
      </c>
      <c r="EZ145" s="5">
        <v>48</v>
      </c>
      <c r="FA145" s="6">
        <f t="shared" si="845"/>
        <v>0.43518518518518517</v>
      </c>
    </row>
    <row r="146" spans="3:157" x14ac:dyDescent="0.3">
      <c r="C146" s="94"/>
      <c r="D146" s="95"/>
      <c r="E146" s="5">
        <v>47</v>
      </c>
      <c r="F146" s="6">
        <f t="shared" si="816"/>
        <v>0.42592592592592593</v>
      </c>
      <c r="G146" s="3">
        <f t="shared" si="817"/>
        <v>600</v>
      </c>
      <c r="H146" s="3">
        <f t="shared" si="817"/>
        <v>600</v>
      </c>
      <c r="I146" s="3">
        <f t="shared" si="817"/>
        <v>600</v>
      </c>
      <c r="J146" s="3">
        <f t="shared" si="817"/>
        <v>600</v>
      </c>
      <c r="K146" s="3">
        <f t="shared" si="817"/>
        <v>600</v>
      </c>
      <c r="L146" s="3">
        <f t="shared" si="817"/>
        <v>600</v>
      </c>
      <c r="M146" s="3">
        <f t="shared" si="817"/>
        <v>600</v>
      </c>
      <c r="N146" s="3">
        <f t="shared" si="817"/>
        <v>600</v>
      </c>
      <c r="O146" s="3">
        <f t="shared" si="817"/>
        <v>600</v>
      </c>
      <c r="P146" s="3">
        <f t="shared" si="914"/>
        <v>600</v>
      </c>
      <c r="Q146" s="3">
        <f t="shared" si="975"/>
        <v>600</v>
      </c>
      <c r="R146" s="3">
        <f t="shared" ref="R146:R181" si="1017">$R$2</f>
        <v>600</v>
      </c>
      <c r="S146" s="3">
        <f t="shared" ref="S146" si="1018">($F$5*$B$5*S20+$F$4*S81)/($F$4+$F$5*$B$5)</f>
        <v>679.23847287808996</v>
      </c>
      <c r="T146" s="3">
        <f t="shared" ref="T146:T147" si="1019">CT146*T147+EH146</f>
        <v>664.57294744927754</v>
      </c>
      <c r="U146" s="3">
        <f t="shared" ref="U146:U147" si="1020">CU146*U147+EI146</f>
        <v>666.5387431163382</v>
      </c>
      <c r="V146" s="3">
        <f t="shared" ref="V146:V147" si="1021">CV146*V147+EJ146</f>
        <v>668.18193526658138</v>
      </c>
      <c r="W146" s="3">
        <f t="shared" ref="W146:W147" si="1022">CW146*W147+EK146</f>
        <v>669.3929788088551</v>
      </c>
      <c r="X146" s="3">
        <f t="shared" ref="X146:X147" si="1023">CX146*X147+EL146</f>
        <v>670.3103290509996</v>
      </c>
      <c r="Y146" s="3">
        <f t="shared" ref="Y146" si="1024">($F$5*$B$5*Y20+$F$4*Y81)/($F$4+$F$5*$B$5)</f>
        <v>691.14164699785181</v>
      </c>
      <c r="Z146" s="3">
        <f t="shared" ref="Z146:Z181" si="1025">$R$3</f>
        <v>650</v>
      </c>
      <c r="AA146" s="3">
        <f t="shared" si="985"/>
        <v>650</v>
      </c>
      <c r="AB146" s="3">
        <f t="shared" si="915"/>
        <v>650</v>
      </c>
      <c r="AC146" s="3">
        <f t="shared" si="819"/>
        <v>650</v>
      </c>
      <c r="AD146" s="3">
        <f t="shared" si="819"/>
        <v>650</v>
      </c>
      <c r="AE146" s="3">
        <f t="shared" si="819"/>
        <v>650</v>
      </c>
      <c r="AF146" s="3">
        <f t="shared" si="819"/>
        <v>650</v>
      </c>
      <c r="AG146" s="3">
        <f t="shared" si="819"/>
        <v>650</v>
      </c>
      <c r="AH146" s="3">
        <f t="shared" si="819"/>
        <v>650</v>
      </c>
      <c r="AI146" s="3">
        <f t="shared" si="819"/>
        <v>650</v>
      </c>
      <c r="AJ146" s="3">
        <f t="shared" si="819"/>
        <v>650</v>
      </c>
      <c r="AK146" s="3">
        <f t="shared" si="819"/>
        <v>650</v>
      </c>
      <c r="AL146" s="5">
        <v>47</v>
      </c>
      <c r="AM146" s="6">
        <f t="shared" si="820"/>
        <v>0.42592592592592593</v>
      </c>
      <c r="AP146" s="102"/>
      <c r="AQ146" s="101"/>
      <c r="AR146" s="5">
        <v>47</v>
      </c>
      <c r="AS146" s="6">
        <f t="shared" si="821"/>
        <v>0.42592592592592593</v>
      </c>
      <c r="AT146" s="3">
        <f t="shared" si="822"/>
        <v>600</v>
      </c>
      <c r="AU146" s="3">
        <f t="shared" si="822"/>
        <v>600</v>
      </c>
      <c r="AV146" s="3">
        <f t="shared" si="822"/>
        <v>600</v>
      </c>
      <c r="AW146" s="3">
        <f t="shared" si="822"/>
        <v>600</v>
      </c>
      <c r="AX146" s="3">
        <f t="shared" si="822"/>
        <v>600</v>
      </c>
      <c r="AY146" s="3">
        <f t="shared" si="822"/>
        <v>600</v>
      </c>
      <c r="AZ146" s="3">
        <f t="shared" si="822"/>
        <v>600</v>
      </c>
      <c r="BA146" s="3">
        <f t="shared" si="822"/>
        <v>600</v>
      </c>
      <c r="BB146" s="3">
        <f t="shared" si="822"/>
        <v>600</v>
      </c>
      <c r="BC146" s="3">
        <f t="shared" si="916"/>
        <v>600</v>
      </c>
      <c r="BD146" s="3">
        <f t="shared" si="986"/>
        <v>600</v>
      </c>
      <c r="BE146" s="3">
        <f t="shared" ref="BE146:BE181" si="1026">$R$2</f>
        <v>600</v>
      </c>
      <c r="BF146" s="7"/>
      <c r="BG146" s="3">
        <f t="shared" ref="BG146:BG147" si="1027">-($F$3*$F$2)/$B$8*T82</f>
        <v>-2381812994.6177874</v>
      </c>
      <c r="BH146" s="3">
        <f t="shared" ref="BH146:BH147" si="1028">-($F$3*$F$2)/$B$8*U82</f>
        <v>-2389515964.0533772</v>
      </c>
      <c r="BI146" s="3">
        <f t="shared" ref="BI146:BI147" si="1029">-($F$3*$F$2)/$B$8*V82</f>
        <v>-2395464187.6728158</v>
      </c>
      <c r="BJ146" s="3">
        <f t="shared" ref="BJ146:BJ147" si="1030">-($F$3*$F$2)/$B$8*W82</f>
        <v>-2399703125.8696809</v>
      </c>
      <c r="BK146" s="3">
        <f t="shared" ref="BK146:BK147" si="1031">-($F$3*$F$2)/$B$8*X82</f>
        <v>-2402140664.2609525</v>
      </c>
      <c r="BL146" s="7"/>
      <c r="BM146" s="3">
        <f t="shared" ref="BM146:BM181" si="1032">$R$3</f>
        <v>650</v>
      </c>
      <c r="BN146" s="3">
        <f t="shared" si="994"/>
        <v>650</v>
      </c>
      <c r="BO146" s="3">
        <f t="shared" si="928"/>
        <v>650</v>
      </c>
      <c r="BP146" s="3">
        <f t="shared" si="835"/>
        <v>650</v>
      </c>
      <c r="BQ146" s="3">
        <f t="shared" si="835"/>
        <v>650</v>
      </c>
      <c r="BR146" s="3">
        <f t="shared" si="835"/>
        <v>650</v>
      </c>
      <c r="BS146" s="3">
        <f t="shared" si="835"/>
        <v>650</v>
      </c>
      <c r="BT146" s="3">
        <f t="shared" si="835"/>
        <v>650</v>
      </c>
      <c r="BU146" s="3">
        <f t="shared" si="835"/>
        <v>650</v>
      </c>
      <c r="BV146" s="3">
        <f t="shared" si="835"/>
        <v>650</v>
      </c>
      <c r="BW146" s="3">
        <f t="shared" si="835"/>
        <v>650</v>
      </c>
      <c r="BX146" s="3">
        <f t="shared" si="835"/>
        <v>650</v>
      </c>
      <c r="BY146" s="5">
        <v>47</v>
      </c>
      <c r="BZ146" s="6">
        <f t="shared" si="836"/>
        <v>0.42592592592592593</v>
      </c>
      <c r="CC146" s="94"/>
      <c r="CD146" s="95"/>
      <c r="CE146" s="5">
        <v>47</v>
      </c>
      <c r="CF146" s="6">
        <f t="shared" si="837"/>
        <v>0.42592592592592593</v>
      </c>
      <c r="CG146" s="3">
        <f t="shared" si="838"/>
        <v>600</v>
      </c>
      <c r="CH146" s="3">
        <f t="shared" si="838"/>
        <v>600</v>
      </c>
      <c r="CI146" s="3">
        <f t="shared" si="838"/>
        <v>600</v>
      </c>
      <c r="CJ146" s="3">
        <f t="shared" si="838"/>
        <v>600</v>
      </c>
      <c r="CK146" s="3">
        <f t="shared" si="838"/>
        <v>600</v>
      </c>
      <c r="CL146" s="3">
        <f t="shared" si="838"/>
        <v>600</v>
      </c>
      <c r="CM146" s="3">
        <f t="shared" si="838"/>
        <v>600</v>
      </c>
      <c r="CN146" s="3">
        <f t="shared" si="838"/>
        <v>600</v>
      </c>
      <c r="CO146" s="3">
        <f t="shared" si="838"/>
        <v>600</v>
      </c>
      <c r="CP146" s="3">
        <f t="shared" si="929"/>
        <v>600</v>
      </c>
      <c r="CQ146" s="3">
        <f t="shared" si="995"/>
        <v>600</v>
      </c>
      <c r="CR146" s="3">
        <f t="shared" ref="CR146:CR181" si="1033">$R$2</f>
        <v>600</v>
      </c>
      <c r="CS146" s="3">
        <f t="shared" ref="CS146" si="1034">$O$2/($O$3-$O$4*CS145)</f>
        <v>0.11667843062533644</v>
      </c>
      <c r="CT146" s="3">
        <f t="shared" ref="CT146" si="1035">$O$2/($O$3-$O$4*CT145)</f>
        <v>0.11667843062533644</v>
      </c>
      <c r="CU146" s="3">
        <f t="shared" ref="CU146" si="1036">$O$2/($O$3-$O$4*CU145)</f>
        <v>0.11667843062533644</v>
      </c>
      <c r="CV146" s="3">
        <f t="shared" ref="CV146" si="1037">$O$2/($O$3-$O$4*CV145)</f>
        <v>0.11667843062533644</v>
      </c>
      <c r="CW146" s="3">
        <f t="shared" ref="CW146" si="1038">$O$2/($O$3-$O$4*CW145)</f>
        <v>0.11667843062533644</v>
      </c>
      <c r="CX146" s="3">
        <f t="shared" ref="CX146" si="1039">$O$2/($O$3-$O$4*CX145)</f>
        <v>0.11667843062533644</v>
      </c>
      <c r="CY146" s="3">
        <f t="shared" ref="CY146" si="1040">$O$2/($O$3-$O$4*CY145)</f>
        <v>0.11667843062533644</v>
      </c>
      <c r="CZ146" s="3">
        <f t="shared" ref="CZ146:CZ181" si="1041">$R$3</f>
        <v>650</v>
      </c>
      <c r="DA146" s="3">
        <f t="shared" si="1005"/>
        <v>650</v>
      </c>
      <c r="DB146" s="3">
        <f t="shared" si="941"/>
        <v>650</v>
      </c>
      <c r="DC146" s="3">
        <f t="shared" si="839"/>
        <v>650</v>
      </c>
      <c r="DD146" s="3">
        <f t="shared" si="839"/>
        <v>650</v>
      </c>
      <c r="DE146" s="3">
        <f t="shared" si="839"/>
        <v>650</v>
      </c>
      <c r="DF146" s="3">
        <f t="shared" si="839"/>
        <v>650</v>
      </c>
      <c r="DG146" s="3">
        <f t="shared" si="839"/>
        <v>650</v>
      </c>
      <c r="DH146" s="3">
        <f t="shared" si="839"/>
        <v>650</v>
      </c>
      <c r="DI146" s="3">
        <f t="shared" si="839"/>
        <v>650</v>
      </c>
      <c r="DJ146" s="3">
        <f t="shared" si="839"/>
        <v>650</v>
      </c>
      <c r="DK146" s="3">
        <f t="shared" si="839"/>
        <v>650</v>
      </c>
      <c r="DL146" s="5">
        <v>47</v>
      </c>
      <c r="DM146" s="6">
        <f t="shared" si="840"/>
        <v>0.42592592592592593</v>
      </c>
      <c r="DQ146" s="94"/>
      <c r="DR146" s="95"/>
      <c r="DS146" s="5">
        <v>47</v>
      </c>
      <c r="DT146" s="6">
        <f t="shared" si="841"/>
        <v>0.42592592592592593</v>
      </c>
      <c r="DU146" s="3">
        <f t="shared" si="842"/>
        <v>600</v>
      </c>
      <c r="DV146" s="3">
        <f t="shared" si="842"/>
        <v>600</v>
      </c>
      <c r="DW146" s="3">
        <f t="shared" si="842"/>
        <v>600</v>
      </c>
      <c r="DX146" s="3">
        <f t="shared" si="842"/>
        <v>600</v>
      </c>
      <c r="DY146" s="3">
        <f t="shared" si="842"/>
        <v>600</v>
      </c>
      <c r="DZ146" s="3">
        <f t="shared" si="842"/>
        <v>600</v>
      </c>
      <c r="EA146" s="3">
        <f t="shared" si="842"/>
        <v>600</v>
      </c>
      <c r="EB146" s="3">
        <f t="shared" si="842"/>
        <v>600</v>
      </c>
      <c r="EC146" s="3">
        <f t="shared" si="842"/>
        <v>600</v>
      </c>
      <c r="ED146" s="3">
        <f t="shared" si="942"/>
        <v>600</v>
      </c>
      <c r="EE146" s="3">
        <f t="shared" si="1006"/>
        <v>600</v>
      </c>
      <c r="EF146" s="3">
        <f t="shared" ref="EF146:EF181" si="1042">$R$2</f>
        <v>600</v>
      </c>
      <c r="EG146" s="3">
        <f t="shared" ref="EG146" si="1043">(EG145*$O$4-BF146)/($O$3-$O$4*CS145)</f>
        <v>70.739884883006326</v>
      </c>
      <c r="EH146" s="3">
        <f t="shared" ref="EH146" si="1044">(EH145*$O$4-BG146)/($O$3-$O$4*CT145)</f>
        <v>588.86190084666441</v>
      </c>
      <c r="EI146" s="3">
        <f t="shared" ref="EI146" si="1045">(EI145*$O$4-BH146)/($O$3-$O$4*CU145)</f>
        <v>590.70740139523627</v>
      </c>
      <c r="EJ146" s="3">
        <f t="shared" ref="EJ146" si="1046">(EJ145*$O$4-BI146)/($O$3-$O$4*CV145)</f>
        <v>592.16812402253538</v>
      </c>
      <c r="EK146" s="3">
        <f t="shared" ref="EK146" si="1047">(EK145*$O$4-BJ146)/($O$3-$O$4*CW145)</f>
        <v>593.25213898371817</v>
      </c>
      <c r="EL146" s="3">
        <f t="shared" ref="EL146" si="1048">(EL145*$O$4-BK146)/($O$3-$O$4*CX145)</f>
        <v>593.94409512038294</v>
      </c>
      <c r="EM146" s="3">
        <f t="shared" ref="EM146" si="1049">(EM145*$O$4-BL146)/($O$3-$O$4*CY145)</f>
        <v>71.739720574784613</v>
      </c>
      <c r="EN146" s="3">
        <f t="shared" ref="EN146:EN181" si="1050">$R$3</f>
        <v>650</v>
      </c>
      <c r="EO146" s="3">
        <f t="shared" si="1016"/>
        <v>650</v>
      </c>
      <c r="EP146" s="3">
        <f t="shared" si="954"/>
        <v>650</v>
      </c>
      <c r="EQ146" s="3">
        <f t="shared" si="844"/>
        <v>650</v>
      </c>
      <c r="ER146" s="3">
        <f t="shared" si="844"/>
        <v>650</v>
      </c>
      <c r="ES146" s="3">
        <f t="shared" si="844"/>
        <v>650</v>
      </c>
      <c r="ET146" s="3">
        <f t="shared" si="844"/>
        <v>650</v>
      </c>
      <c r="EU146" s="3">
        <f t="shared" si="844"/>
        <v>650</v>
      </c>
      <c r="EV146" s="3">
        <f t="shared" si="844"/>
        <v>650</v>
      </c>
      <c r="EW146" s="3">
        <f t="shared" si="844"/>
        <v>650</v>
      </c>
      <c r="EX146" s="3">
        <f t="shared" si="844"/>
        <v>650</v>
      </c>
      <c r="EY146" s="3">
        <f t="shared" si="844"/>
        <v>650</v>
      </c>
      <c r="EZ146" s="5">
        <v>47</v>
      </c>
      <c r="FA146" s="6">
        <f t="shared" si="845"/>
        <v>0.42592592592592593</v>
      </c>
    </row>
    <row r="147" spans="3:157" x14ac:dyDescent="0.3">
      <c r="C147" s="94"/>
      <c r="D147" s="95"/>
      <c r="E147" s="5">
        <v>46</v>
      </c>
      <c r="F147" s="6">
        <f t="shared" si="816"/>
        <v>0.41666666666666663</v>
      </c>
      <c r="G147" s="3">
        <f t="shared" si="817"/>
        <v>600</v>
      </c>
      <c r="H147" s="3">
        <f t="shared" si="817"/>
        <v>600</v>
      </c>
      <c r="I147" s="3">
        <f t="shared" si="817"/>
        <v>600</v>
      </c>
      <c r="J147" s="3">
        <f t="shared" si="817"/>
        <v>600</v>
      </c>
      <c r="K147" s="3">
        <f t="shared" si="817"/>
        <v>600</v>
      </c>
      <c r="L147" s="3">
        <f t="shared" si="817"/>
        <v>600</v>
      </c>
      <c r="M147" s="3">
        <f t="shared" si="817"/>
        <v>600</v>
      </c>
      <c r="N147" s="3">
        <f t="shared" si="817"/>
        <v>600</v>
      </c>
      <c r="O147" s="3">
        <f t="shared" si="817"/>
        <v>600</v>
      </c>
      <c r="P147" s="3">
        <f t="shared" si="914"/>
        <v>600</v>
      </c>
      <c r="Q147" s="3">
        <f t="shared" si="975"/>
        <v>600</v>
      </c>
      <c r="R147" s="3">
        <f t="shared" si="1017"/>
        <v>600</v>
      </c>
      <c r="S147" s="3">
        <f t="shared" ref="S147:S179" si="1051">$R$2</f>
        <v>600</v>
      </c>
      <c r="T147" s="3">
        <f t="shared" si="1019"/>
        <v>648.88639825579446</v>
      </c>
      <c r="U147" s="3">
        <f t="shared" si="1020"/>
        <v>649.91739531192604</v>
      </c>
      <c r="V147" s="3">
        <f t="shared" si="1021"/>
        <v>651.48126210346663</v>
      </c>
      <c r="W147" s="3">
        <f t="shared" si="1022"/>
        <v>652.56996873424805</v>
      </c>
      <c r="X147" s="3">
        <f t="shared" si="1023"/>
        <v>654.5017234233685</v>
      </c>
      <c r="Y147" s="3">
        <f t="shared" ref="Y147:Y179" si="1052">$R$3</f>
        <v>650</v>
      </c>
      <c r="Z147" s="3">
        <f t="shared" si="1025"/>
        <v>650</v>
      </c>
      <c r="AA147" s="3">
        <f t="shared" si="985"/>
        <v>650</v>
      </c>
      <c r="AB147" s="3">
        <f t="shared" si="915"/>
        <v>650</v>
      </c>
      <c r="AC147" s="3">
        <f t="shared" si="819"/>
        <v>650</v>
      </c>
      <c r="AD147" s="3">
        <f t="shared" si="819"/>
        <v>650</v>
      </c>
      <c r="AE147" s="3">
        <f t="shared" si="819"/>
        <v>650</v>
      </c>
      <c r="AF147" s="3">
        <f t="shared" si="819"/>
        <v>650</v>
      </c>
      <c r="AG147" s="3">
        <f t="shared" si="819"/>
        <v>650</v>
      </c>
      <c r="AH147" s="3">
        <f t="shared" si="819"/>
        <v>650</v>
      </c>
      <c r="AI147" s="3">
        <f t="shared" si="819"/>
        <v>650</v>
      </c>
      <c r="AJ147" s="3">
        <f t="shared" si="819"/>
        <v>650</v>
      </c>
      <c r="AK147" s="3">
        <f t="shared" si="819"/>
        <v>650</v>
      </c>
      <c r="AL147" s="5">
        <v>46</v>
      </c>
      <c r="AM147" s="6">
        <f t="shared" si="820"/>
        <v>0.41666666666666663</v>
      </c>
      <c r="AP147" s="102"/>
      <c r="AQ147" s="101"/>
      <c r="AR147" s="5">
        <v>46</v>
      </c>
      <c r="AS147" s="6">
        <f t="shared" si="821"/>
        <v>0.41666666666666663</v>
      </c>
      <c r="AT147" s="3">
        <f t="shared" si="822"/>
        <v>600</v>
      </c>
      <c r="AU147" s="3">
        <f t="shared" si="822"/>
        <v>600</v>
      </c>
      <c r="AV147" s="3">
        <f t="shared" si="822"/>
        <v>600</v>
      </c>
      <c r="AW147" s="3">
        <f t="shared" si="822"/>
        <v>600</v>
      </c>
      <c r="AX147" s="3">
        <f t="shared" si="822"/>
        <v>600</v>
      </c>
      <c r="AY147" s="3">
        <f t="shared" si="822"/>
        <v>600</v>
      </c>
      <c r="AZ147" s="3">
        <f t="shared" si="822"/>
        <v>600</v>
      </c>
      <c r="BA147" s="3">
        <f t="shared" si="822"/>
        <v>600</v>
      </c>
      <c r="BB147" s="3">
        <f t="shared" si="822"/>
        <v>600</v>
      </c>
      <c r="BC147" s="3">
        <f t="shared" si="916"/>
        <v>600</v>
      </c>
      <c r="BD147" s="3">
        <f t="shared" si="986"/>
        <v>600</v>
      </c>
      <c r="BE147" s="3">
        <f t="shared" si="1026"/>
        <v>600</v>
      </c>
      <c r="BF147" s="3">
        <f t="shared" ref="BF147:BF179" si="1053">$R$2</f>
        <v>600</v>
      </c>
      <c r="BG147" s="3">
        <f t="shared" si="1027"/>
        <v>-2322089433.9607105</v>
      </c>
      <c r="BH147" s="3">
        <f t="shared" si="1028"/>
        <v>-2329686556.4415288</v>
      </c>
      <c r="BI147" s="3">
        <f t="shared" si="1029"/>
        <v>-2335362488.8733978</v>
      </c>
      <c r="BJ147" s="3">
        <f t="shared" si="1030"/>
        <v>-2339173376.5334806</v>
      </c>
      <c r="BK147" s="3">
        <f t="shared" si="1031"/>
        <v>-2341036546.0126176</v>
      </c>
      <c r="BL147" s="3">
        <f t="shared" ref="BL147:BL179" si="1054">$R$3</f>
        <v>650</v>
      </c>
      <c r="BM147" s="3">
        <f t="shared" si="1032"/>
        <v>650</v>
      </c>
      <c r="BN147" s="3">
        <f t="shared" si="994"/>
        <v>650</v>
      </c>
      <c r="BO147" s="3">
        <f t="shared" si="928"/>
        <v>650</v>
      </c>
      <c r="BP147" s="3">
        <f t="shared" si="835"/>
        <v>650</v>
      </c>
      <c r="BQ147" s="3">
        <f t="shared" si="835"/>
        <v>650</v>
      </c>
      <c r="BR147" s="3">
        <f t="shared" si="835"/>
        <v>650</v>
      </c>
      <c r="BS147" s="3">
        <f t="shared" si="835"/>
        <v>650</v>
      </c>
      <c r="BT147" s="3">
        <f t="shared" si="835"/>
        <v>650</v>
      </c>
      <c r="BU147" s="3">
        <f t="shared" si="835"/>
        <v>650</v>
      </c>
      <c r="BV147" s="3">
        <f t="shared" si="835"/>
        <v>650</v>
      </c>
      <c r="BW147" s="3">
        <f t="shared" si="835"/>
        <v>650</v>
      </c>
      <c r="BX147" s="3">
        <f t="shared" si="835"/>
        <v>650</v>
      </c>
      <c r="BY147" s="5">
        <v>46</v>
      </c>
      <c r="BZ147" s="6">
        <f t="shared" si="836"/>
        <v>0.41666666666666663</v>
      </c>
      <c r="CC147" s="94"/>
      <c r="CD147" s="95"/>
      <c r="CE147" s="5">
        <v>46</v>
      </c>
      <c r="CF147" s="6">
        <f t="shared" si="837"/>
        <v>0.41666666666666663</v>
      </c>
      <c r="CG147" s="3">
        <f t="shared" si="838"/>
        <v>600</v>
      </c>
      <c r="CH147" s="3">
        <f t="shared" si="838"/>
        <v>600</v>
      </c>
      <c r="CI147" s="3">
        <f t="shared" si="838"/>
        <v>600</v>
      </c>
      <c r="CJ147" s="3">
        <f t="shared" si="838"/>
        <v>600</v>
      </c>
      <c r="CK147" s="3">
        <f t="shared" si="838"/>
        <v>600</v>
      </c>
      <c r="CL147" s="3">
        <f t="shared" si="838"/>
        <v>600</v>
      </c>
      <c r="CM147" s="3">
        <f t="shared" si="838"/>
        <v>600</v>
      </c>
      <c r="CN147" s="3">
        <f t="shared" si="838"/>
        <v>600</v>
      </c>
      <c r="CO147" s="3">
        <f t="shared" si="838"/>
        <v>600</v>
      </c>
      <c r="CP147" s="3">
        <f t="shared" si="929"/>
        <v>600</v>
      </c>
      <c r="CQ147" s="3">
        <f t="shared" si="995"/>
        <v>600</v>
      </c>
      <c r="CR147" s="3">
        <f t="shared" si="1033"/>
        <v>600</v>
      </c>
      <c r="CS147" s="3">
        <f t="shared" ref="CS147:CS179" si="1055">$R$2</f>
        <v>600</v>
      </c>
      <c r="CT147" s="3">
        <f t="shared" ref="CT147:CT148" si="1056">$O$2/($O$3-$O$4*CT146)</f>
        <v>0.11667843062533659</v>
      </c>
      <c r="CU147" s="3">
        <f t="shared" ref="CU147:CU148" si="1057">$O$2/($O$3-$O$4*CU146)</f>
        <v>0.11667843062533659</v>
      </c>
      <c r="CV147" s="3">
        <f t="shared" ref="CV147:CV148" si="1058">$O$2/($O$3-$O$4*CV146)</f>
        <v>0.11667843062533659</v>
      </c>
      <c r="CW147" s="3">
        <f t="shared" ref="CW147:CW148" si="1059">$O$2/($O$3-$O$4*CW146)</f>
        <v>0.11667843062533659</v>
      </c>
      <c r="CX147" s="3">
        <f t="shared" ref="CX147:CX148" si="1060">$O$2/($O$3-$O$4*CX146)</f>
        <v>0.11667843062533659</v>
      </c>
      <c r="CY147" s="3">
        <f t="shared" ref="CY147:CY179" si="1061">$R$3</f>
        <v>650</v>
      </c>
      <c r="CZ147" s="3">
        <f t="shared" si="1041"/>
        <v>650</v>
      </c>
      <c r="DA147" s="3">
        <f t="shared" si="1005"/>
        <v>650</v>
      </c>
      <c r="DB147" s="3">
        <f t="shared" si="941"/>
        <v>650</v>
      </c>
      <c r="DC147" s="3">
        <f t="shared" si="839"/>
        <v>650</v>
      </c>
      <c r="DD147" s="3">
        <f t="shared" si="839"/>
        <v>650</v>
      </c>
      <c r="DE147" s="3">
        <f t="shared" si="839"/>
        <v>650</v>
      </c>
      <c r="DF147" s="3">
        <f t="shared" si="839"/>
        <v>650</v>
      </c>
      <c r="DG147" s="3">
        <f t="shared" si="839"/>
        <v>650</v>
      </c>
      <c r="DH147" s="3">
        <f t="shared" si="839"/>
        <v>650</v>
      </c>
      <c r="DI147" s="3">
        <f t="shared" si="839"/>
        <v>650</v>
      </c>
      <c r="DJ147" s="3">
        <f t="shared" si="839"/>
        <v>650</v>
      </c>
      <c r="DK147" s="3">
        <f t="shared" si="839"/>
        <v>650</v>
      </c>
      <c r="DL147" s="5">
        <v>46</v>
      </c>
      <c r="DM147" s="6">
        <f t="shared" si="840"/>
        <v>0.41666666666666663</v>
      </c>
      <c r="DQ147" s="94"/>
      <c r="DR147" s="95"/>
      <c r="DS147" s="5">
        <v>46</v>
      </c>
      <c r="DT147" s="6">
        <f t="shared" si="841"/>
        <v>0.41666666666666663</v>
      </c>
      <c r="DU147" s="3">
        <f t="shared" si="842"/>
        <v>600</v>
      </c>
      <c r="DV147" s="3">
        <f t="shared" si="842"/>
        <v>600</v>
      </c>
      <c r="DW147" s="3">
        <f t="shared" si="842"/>
        <v>600</v>
      </c>
      <c r="DX147" s="3">
        <f t="shared" si="842"/>
        <v>600</v>
      </c>
      <c r="DY147" s="3">
        <f t="shared" si="842"/>
        <v>600</v>
      </c>
      <c r="DZ147" s="3">
        <f t="shared" si="842"/>
        <v>600</v>
      </c>
      <c r="EA147" s="3">
        <f t="shared" si="842"/>
        <v>600</v>
      </c>
      <c r="EB147" s="3">
        <f t="shared" si="842"/>
        <v>600</v>
      </c>
      <c r="EC147" s="3">
        <f t="shared" si="842"/>
        <v>600</v>
      </c>
      <c r="ED147" s="3">
        <f t="shared" si="942"/>
        <v>600</v>
      </c>
      <c r="EE147" s="3">
        <f t="shared" si="1006"/>
        <v>600</v>
      </c>
      <c r="EF147" s="3">
        <f t="shared" si="1042"/>
        <v>600</v>
      </c>
      <c r="EG147" s="3">
        <f t="shared" ref="EG147:EG179" si="1062">$R$2</f>
        <v>600</v>
      </c>
      <c r="EH147" s="3">
        <f t="shared" ref="EH147:EH148" si="1063">(EH146*$O$4-BG147)/($O$3-$O$4*CT146)</f>
        <v>573.6758558247476</v>
      </c>
      <c r="EI147" s="3">
        <f t="shared" ref="EI147:EI148" si="1064">(EI146*$O$4-BH147)/($O$3-$O$4*CU146)</f>
        <v>575.54327845113016</v>
      </c>
      <c r="EJ147" s="3">
        <f t="shared" ref="EJ147:EJ148" si="1065">(EJ146*$O$4-BI147)/($O$3-$O$4*CV146)</f>
        <v>576.94801817527309</v>
      </c>
      <c r="EK147" s="3">
        <f t="shared" ref="EK147:EK148" si="1066">(EK146*$O$4-BJ147)/($O$3-$O$4*CW146)</f>
        <v>577.9032261383926</v>
      </c>
      <c r="EL147" s="3">
        <f t="shared" ref="EL147:EL148" si="1067">(EL146*$O$4-BK147)/($O$3-$O$4*CX146)</f>
        <v>578.38913278958125</v>
      </c>
      <c r="EM147" s="3">
        <f t="shared" ref="EM147:EM179" si="1068">$R$3</f>
        <v>650</v>
      </c>
      <c r="EN147" s="3">
        <f t="shared" si="1050"/>
        <v>650</v>
      </c>
      <c r="EO147" s="3">
        <f t="shared" si="1016"/>
        <v>650</v>
      </c>
      <c r="EP147" s="3">
        <f t="shared" si="954"/>
        <v>650</v>
      </c>
      <c r="EQ147" s="3">
        <f t="shared" si="844"/>
        <v>650</v>
      </c>
      <c r="ER147" s="3">
        <f t="shared" si="844"/>
        <v>650</v>
      </c>
      <c r="ES147" s="3">
        <f t="shared" si="844"/>
        <v>650</v>
      </c>
      <c r="ET147" s="3">
        <f t="shared" si="844"/>
        <v>650</v>
      </c>
      <c r="EU147" s="3">
        <f t="shared" si="844"/>
        <v>650</v>
      </c>
      <c r="EV147" s="3">
        <f t="shared" si="844"/>
        <v>650</v>
      </c>
      <c r="EW147" s="3">
        <f t="shared" si="844"/>
        <v>650</v>
      </c>
      <c r="EX147" s="3">
        <f t="shared" si="844"/>
        <v>650</v>
      </c>
      <c r="EY147" s="3">
        <f t="shared" si="844"/>
        <v>650</v>
      </c>
      <c r="EZ147" s="5">
        <v>46</v>
      </c>
      <c r="FA147" s="6">
        <f t="shared" si="845"/>
        <v>0.41666666666666663</v>
      </c>
    </row>
    <row r="148" spans="3:157" x14ac:dyDescent="0.3">
      <c r="C148" s="94"/>
      <c r="D148" s="95"/>
      <c r="E148" s="5">
        <v>45</v>
      </c>
      <c r="F148" s="6">
        <f t="shared" si="816"/>
        <v>0.40740740740740738</v>
      </c>
      <c r="G148" s="3">
        <f t="shared" ref="G148:O157" si="1069">$R$2</f>
        <v>600</v>
      </c>
      <c r="H148" s="3">
        <f t="shared" si="1069"/>
        <v>600</v>
      </c>
      <c r="I148" s="3">
        <f t="shared" si="1069"/>
        <v>600</v>
      </c>
      <c r="J148" s="3">
        <f t="shared" si="1069"/>
        <v>600</v>
      </c>
      <c r="K148" s="3">
        <f t="shared" si="1069"/>
        <v>600</v>
      </c>
      <c r="L148" s="3">
        <f t="shared" si="1069"/>
        <v>600</v>
      </c>
      <c r="M148" s="3">
        <f t="shared" si="1069"/>
        <v>600</v>
      </c>
      <c r="N148" s="3">
        <f t="shared" si="1069"/>
        <v>600</v>
      </c>
      <c r="O148" s="3">
        <f t="shared" si="1069"/>
        <v>600</v>
      </c>
      <c r="P148" s="3">
        <f t="shared" si="914"/>
        <v>600</v>
      </c>
      <c r="Q148" s="3">
        <f t="shared" si="975"/>
        <v>600</v>
      </c>
      <c r="R148" s="3">
        <f t="shared" si="1017"/>
        <v>600</v>
      </c>
      <c r="S148" s="3">
        <f t="shared" si="1051"/>
        <v>600</v>
      </c>
      <c r="T148" s="3">
        <f t="shared" ref="T148" si="1070">($F$5*$B$5*T22+$F$4*T83)/($F$4+$F$5*$B$5)</f>
        <v>644.5967950370682</v>
      </c>
      <c r="U148" s="3">
        <f t="shared" ref="U148:U191" si="1071">CU148*U149+EI148</f>
        <v>637.42815584841787</v>
      </c>
      <c r="V148" s="3">
        <f t="shared" ref="V148:V191" si="1072">CV148*V149+EJ148</f>
        <v>638.79196462219704</v>
      </c>
      <c r="W148" s="3">
        <f t="shared" ref="W148:X191" si="1073">CW148*W149+EK148</f>
        <v>639.93612354639981</v>
      </c>
      <c r="X148" s="3">
        <f t="shared" ref="X148" si="1074">($F$5*$B$5*X22+$F$4*X83)/($F$4+$F$5*$B$5)</f>
        <v>652.32785722144831</v>
      </c>
      <c r="Y148" s="3">
        <f t="shared" si="1052"/>
        <v>650</v>
      </c>
      <c r="Z148" s="3">
        <f t="shared" si="1025"/>
        <v>650</v>
      </c>
      <c r="AA148" s="3">
        <f t="shared" si="985"/>
        <v>650</v>
      </c>
      <c r="AB148" s="3">
        <f t="shared" si="915"/>
        <v>650</v>
      </c>
      <c r="AC148" s="3">
        <f t="shared" ref="AC148:AK157" si="1075">$R$3</f>
        <v>650</v>
      </c>
      <c r="AD148" s="3">
        <f t="shared" si="1075"/>
        <v>650</v>
      </c>
      <c r="AE148" s="3">
        <f t="shared" si="1075"/>
        <v>650</v>
      </c>
      <c r="AF148" s="3">
        <f t="shared" si="1075"/>
        <v>650</v>
      </c>
      <c r="AG148" s="3">
        <f t="shared" si="1075"/>
        <v>650</v>
      </c>
      <c r="AH148" s="3">
        <f t="shared" si="1075"/>
        <v>650</v>
      </c>
      <c r="AI148" s="3">
        <f t="shared" si="1075"/>
        <v>650</v>
      </c>
      <c r="AJ148" s="3">
        <f t="shared" si="1075"/>
        <v>650</v>
      </c>
      <c r="AK148" s="3">
        <f t="shared" si="1075"/>
        <v>650</v>
      </c>
      <c r="AL148" s="5">
        <v>45</v>
      </c>
      <c r="AM148" s="6">
        <f t="shared" si="820"/>
        <v>0.40740740740740738</v>
      </c>
      <c r="AP148" s="102"/>
      <c r="AQ148" s="101"/>
      <c r="AR148" s="5">
        <v>45</v>
      </c>
      <c r="AS148" s="6">
        <f t="shared" si="821"/>
        <v>0.40740740740740738</v>
      </c>
      <c r="AT148" s="3">
        <f t="shared" ref="AT148:BB157" si="1076">$R$2</f>
        <v>600</v>
      </c>
      <c r="AU148" s="3">
        <f t="shared" si="1076"/>
        <v>600</v>
      </c>
      <c r="AV148" s="3">
        <f t="shared" si="1076"/>
        <v>600</v>
      </c>
      <c r="AW148" s="3">
        <f t="shared" si="1076"/>
        <v>600</v>
      </c>
      <c r="AX148" s="3">
        <f t="shared" si="1076"/>
        <v>600</v>
      </c>
      <c r="AY148" s="3">
        <f t="shared" si="1076"/>
        <v>600</v>
      </c>
      <c r="AZ148" s="3">
        <f t="shared" si="1076"/>
        <v>600</v>
      </c>
      <c r="BA148" s="3">
        <f t="shared" si="1076"/>
        <v>600</v>
      </c>
      <c r="BB148" s="3">
        <f t="shared" si="1076"/>
        <v>600</v>
      </c>
      <c r="BC148" s="3">
        <f t="shared" si="916"/>
        <v>600</v>
      </c>
      <c r="BD148" s="3">
        <f t="shared" si="986"/>
        <v>600</v>
      </c>
      <c r="BE148" s="3">
        <f t="shared" si="1026"/>
        <v>600</v>
      </c>
      <c r="BF148" s="3">
        <f t="shared" si="1053"/>
        <v>600</v>
      </c>
      <c r="BG148" s="7"/>
      <c r="BH148" s="3">
        <f t="shared" ref="BE148:BH192" si="1077">-($F$3*$F$2)/$B$8*U84</f>
        <v>-2285821120.1865139</v>
      </c>
      <c r="BI148" s="3">
        <f t="shared" ref="BI148:BI192" si="1078">-($F$3*$F$2)/$B$8*V84</f>
        <v>-2290807268.9266753</v>
      </c>
      <c r="BJ148" s="3">
        <f t="shared" ref="BJ148:BJ192" si="1079">-($F$3*$F$2)/$B$8*W84</f>
        <v>-2294772416.8476543</v>
      </c>
      <c r="BK148" s="7"/>
      <c r="BL148" s="3">
        <f t="shared" si="1054"/>
        <v>650</v>
      </c>
      <c r="BM148" s="3">
        <f t="shared" si="1032"/>
        <v>650</v>
      </c>
      <c r="BN148" s="3">
        <f t="shared" si="994"/>
        <v>650</v>
      </c>
      <c r="BO148" s="3">
        <f t="shared" si="928"/>
        <v>650</v>
      </c>
      <c r="BP148" s="3">
        <f t="shared" ref="BP148:BX157" si="1080">$R$3</f>
        <v>650</v>
      </c>
      <c r="BQ148" s="3">
        <f t="shared" si="1080"/>
        <v>650</v>
      </c>
      <c r="BR148" s="3">
        <f t="shared" si="1080"/>
        <v>650</v>
      </c>
      <c r="BS148" s="3">
        <f t="shared" si="1080"/>
        <v>650</v>
      </c>
      <c r="BT148" s="3">
        <f t="shared" si="1080"/>
        <v>650</v>
      </c>
      <c r="BU148" s="3">
        <f t="shared" si="1080"/>
        <v>650</v>
      </c>
      <c r="BV148" s="3">
        <f t="shared" si="1080"/>
        <v>650</v>
      </c>
      <c r="BW148" s="3">
        <f t="shared" si="1080"/>
        <v>650</v>
      </c>
      <c r="BX148" s="3">
        <f t="shared" si="1080"/>
        <v>650</v>
      </c>
      <c r="BY148" s="5">
        <v>45</v>
      </c>
      <c r="BZ148" s="6">
        <f t="shared" si="836"/>
        <v>0.40740740740740738</v>
      </c>
      <c r="CC148" s="94"/>
      <c r="CD148" s="95"/>
      <c r="CE148" s="5">
        <v>45</v>
      </c>
      <c r="CF148" s="6">
        <f t="shared" si="837"/>
        <v>0.40740740740740738</v>
      </c>
      <c r="CG148" s="3">
        <f t="shared" ref="CG148:CO157" si="1081">$R$2</f>
        <v>600</v>
      </c>
      <c r="CH148" s="3">
        <f t="shared" si="1081"/>
        <v>600</v>
      </c>
      <c r="CI148" s="3">
        <f t="shared" si="1081"/>
        <v>600</v>
      </c>
      <c r="CJ148" s="3">
        <f t="shared" si="1081"/>
        <v>600</v>
      </c>
      <c r="CK148" s="3">
        <f t="shared" si="1081"/>
        <v>600</v>
      </c>
      <c r="CL148" s="3">
        <f t="shared" si="1081"/>
        <v>600</v>
      </c>
      <c r="CM148" s="3">
        <f t="shared" si="1081"/>
        <v>600</v>
      </c>
      <c r="CN148" s="3">
        <f t="shared" si="1081"/>
        <v>600</v>
      </c>
      <c r="CO148" s="3">
        <f t="shared" si="1081"/>
        <v>600</v>
      </c>
      <c r="CP148" s="3">
        <f t="shared" si="929"/>
        <v>600</v>
      </c>
      <c r="CQ148" s="3">
        <f t="shared" si="995"/>
        <v>600</v>
      </c>
      <c r="CR148" s="3">
        <f t="shared" si="1033"/>
        <v>600</v>
      </c>
      <c r="CS148" s="3">
        <f t="shared" si="1055"/>
        <v>600</v>
      </c>
      <c r="CT148" s="3">
        <f t="shared" si="1056"/>
        <v>0.11667843062533659</v>
      </c>
      <c r="CU148" s="3">
        <f t="shared" si="1057"/>
        <v>0.11667843062533659</v>
      </c>
      <c r="CV148" s="3">
        <f t="shared" si="1058"/>
        <v>0.11667843062533659</v>
      </c>
      <c r="CW148" s="3">
        <f t="shared" si="1059"/>
        <v>0.11667843062533659</v>
      </c>
      <c r="CX148" s="3">
        <f t="shared" si="1060"/>
        <v>0.11667843062533659</v>
      </c>
      <c r="CY148" s="3">
        <f t="shared" si="1061"/>
        <v>650</v>
      </c>
      <c r="CZ148" s="3">
        <f t="shared" si="1041"/>
        <v>650</v>
      </c>
      <c r="DA148" s="3">
        <f t="shared" si="1005"/>
        <v>650</v>
      </c>
      <c r="DB148" s="3">
        <f t="shared" si="941"/>
        <v>650</v>
      </c>
      <c r="DC148" s="3">
        <f t="shared" ref="DC148:DK157" si="1082">$R$3</f>
        <v>650</v>
      </c>
      <c r="DD148" s="3">
        <f t="shared" si="1082"/>
        <v>650</v>
      </c>
      <c r="DE148" s="3">
        <f t="shared" si="1082"/>
        <v>650</v>
      </c>
      <c r="DF148" s="3">
        <f t="shared" si="1082"/>
        <v>650</v>
      </c>
      <c r="DG148" s="3">
        <f t="shared" si="1082"/>
        <v>650</v>
      </c>
      <c r="DH148" s="3">
        <f t="shared" si="1082"/>
        <v>650</v>
      </c>
      <c r="DI148" s="3">
        <f t="shared" si="1082"/>
        <v>650</v>
      </c>
      <c r="DJ148" s="3">
        <f t="shared" si="1082"/>
        <v>650</v>
      </c>
      <c r="DK148" s="3">
        <f t="shared" si="1082"/>
        <v>650</v>
      </c>
      <c r="DL148" s="5">
        <v>45</v>
      </c>
      <c r="DM148" s="6">
        <f t="shared" si="840"/>
        <v>0.40740740740740738</v>
      </c>
      <c r="DQ148" s="94"/>
      <c r="DR148" s="95"/>
      <c r="DS148" s="5">
        <v>45</v>
      </c>
      <c r="DT148" s="6">
        <f t="shared" si="841"/>
        <v>0.40740740740740738</v>
      </c>
      <c r="DU148" s="3">
        <f t="shared" ref="DU148:EC157" si="1083">$R$2</f>
        <v>600</v>
      </c>
      <c r="DV148" s="3">
        <f t="shared" si="1083"/>
        <v>600</v>
      </c>
      <c r="DW148" s="3">
        <f t="shared" si="1083"/>
        <v>600</v>
      </c>
      <c r="DX148" s="3">
        <f t="shared" si="1083"/>
        <v>600</v>
      </c>
      <c r="DY148" s="3">
        <f t="shared" si="1083"/>
        <v>600</v>
      </c>
      <c r="DZ148" s="3">
        <f t="shared" si="1083"/>
        <v>600</v>
      </c>
      <c r="EA148" s="3">
        <f t="shared" si="1083"/>
        <v>600</v>
      </c>
      <c r="EB148" s="3">
        <f t="shared" si="1083"/>
        <v>600</v>
      </c>
      <c r="EC148" s="3">
        <f t="shared" si="1083"/>
        <v>600</v>
      </c>
      <c r="ED148" s="3">
        <f t="shared" si="942"/>
        <v>600</v>
      </c>
      <c r="EE148" s="3">
        <f t="shared" si="1006"/>
        <v>600</v>
      </c>
      <c r="EF148" s="3">
        <f t="shared" si="1042"/>
        <v>600</v>
      </c>
      <c r="EG148" s="3">
        <f t="shared" si="1062"/>
        <v>600</v>
      </c>
      <c r="EH148" s="3">
        <f t="shared" si="1063"/>
        <v>66.93559854527841</v>
      </c>
      <c r="EI148" s="3">
        <f t="shared" si="1064"/>
        <v>564.23484606499846</v>
      </c>
      <c r="EJ148" s="3">
        <f t="shared" si="1065"/>
        <v>565.48305140879393</v>
      </c>
      <c r="EK148" s="3">
        <f t="shared" si="1066"/>
        <v>566.45677626193242</v>
      </c>
      <c r="EL148" s="3">
        <f t="shared" si="1067"/>
        <v>67.485536304637748</v>
      </c>
      <c r="EM148" s="3">
        <f t="shared" si="1068"/>
        <v>650</v>
      </c>
      <c r="EN148" s="3">
        <f t="shared" si="1050"/>
        <v>650</v>
      </c>
      <c r="EO148" s="3">
        <f t="shared" si="1016"/>
        <v>650</v>
      </c>
      <c r="EP148" s="3">
        <f t="shared" si="954"/>
        <v>650</v>
      </c>
      <c r="EQ148" s="3">
        <f t="shared" ref="EQ148:EY157" si="1084">$R$3</f>
        <v>650</v>
      </c>
      <c r="ER148" s="3">
        <f t="shared" si="1084"/>
        <v>650</v>
      </c>
      <c r="ES148" s="3">
        <f t="shared" si="1084"/>
        <v>650</v>
      </c>
      <c r="ET148" s="3">
        <f t="shared" si="1084"/>
        <v>650</v>
      </c>
      <c r="EU148" s="3">
        <f t="shared" si="1084"/>
        <v>650</v>
      </c>
      <c r="EV148" s="3">
        <f t="shared" si="1084"/>
        <v>650</v>
      </c>
      <c r="EW148" s="3">
        <f t="shared" si="1084"/>
        <v>650</v>
      </c>
      <c r="EX148" s="3">
        <f t="shared" si="1084"/>
        <v>650</v>
      </c>
      <c r="EY148" s="3">
        <f t="shared" si="1084"/>
        <v>650</v>
      </c>
      <c r="EZ148" s="5">
        <v>45</v>
      </c>
      <c r="FA148" s="6">
        <f t="shared" si="845"/>
        <v>0.40740740740740738</v>
      </c>
    </row>
    <row r="149" spans="3:157" x14ac:dyDescent="0.3">
      <c r="C149" s="94"/>
      <c r="D149" s="95"/>
      <c r="E149" s="5">
        <v>44</v>
      </c>
      <c r="F149" s="6">
        <f t="shared" si="816"/>
        <v>0.39814814814814814</v>
      </c>
      <c r="G149" s="3">
        <f t="shared" si="1069"/>
        <v>600</v>
      </c>
      <c r="H149" s="3">
        <f t="shared" si="1069"/>
        <v>600</v>
      </c>
      <c r="I149" s="3">
        <f t="shared" si="1069"/>
        <v>600</v>
      </c>
      <c r="J149" s="3">
        <f t="shared" si="1069"/>
        <v>600</v>
      </c>
      <c r="K149" s="3">
        <f t="shared" si="1069"/>
        <v>600</v>
      </c>
      <c r="L149" s="3">
        <f t="shared" si="1069"/>
        <v>600</v>
      </c>
      <c r="M149" s="3">
        <f t="shared" si="1069"/>
        <v>600</v>
      </c>
      <c r="N149" s="3">
        <f t="shared" si="1069"/>
        <v>600</v>
      </c>
      <c r="O149" s="3">
        <f t="shared" si="1069"/>
        <v>600</v>
      </c>
      <c r="P149" s="3">
        <f t="shared" si="914"/>
        <v>600</v>
      </c>
      <c r="Q149" s="3">
        <f t="shared" si="975"/>
        <v>600</v>
      </c>
      <c r="R149" s="3">
        <f t="shared" si="1017"/>
        <v>600</v>
      </c>
      <c r="S149" s="3">
        <f t="shared" si="1051"/>
        <v>600</v>
      </c>
      <c r="T149" s="3">
        <f t="shared" ref="T149:T176" si="1085">$R$2</f>
        <v>600</v>
      </c>
      <c r="U149" s="3">
        <f t="shared" si="1071"/>
        <v>627.3079727858933</v>
      </c>
      <c r="V149" s="3">
        <f t="shared" si="1072"/>
        <v>628.29875942369949</v>
      </c>
      <c r="W149" s="3">
        <f t="shared" si="1073"/>
        <v>629.75947560020973</v>
      </c>
      <c r="X149" s="3">
        <f t="shared" ref="X149:X176" si="1086">$R$3</f>
        <v>650</v>
      </c>
      <c r="Y149" s="3">
        <f t="shared" si="1052"/>
        <v>650</v>
      </c>
      <c r="Z149" s="3">
        <f t="shared" si="1025"/>
        <v>650</v>
      </c>
      <c r="AA149" s="3">
        <f t="shared" si="985"/>
        <v>650</v>
      </c>
      <c r="AB149" s="3">
        <f t="shared" si="915"/>
        <v>650</v>
      </c>
      <c r="AC149" s="3">
        <f t="shared" si="1075"/>
        <v>650</v>
      </c>
      <c r="AD149" s="3">
        <f t="shared" si="1075"/>
        <v>650</v>
      </c>
      <c r="AE149" s="3">
        <f t="shared" si="1075"/>
        <v>650</v>
      </c>
      <c r="AF149" s="3">
        <f t="shared" si="1075"/>
        <v>650</v>
      </c>
      <c r="AG149" s="3">
        <f t="shared" si="1075"/>
        <v>650</v>
      </c>
      <c r="AH149" s="3">
        <f t="shared" si="1075"/>
        <v>650</v>
      </c>
      <c r="AI149" s="3">
        <f t="shared" si="1075"/>
        <v>650</v>
      </c>
      <c r="AJ149" s="3">
        <f t="shared" si="1075"/>
        <v>650</v>
      </c>
      <c r="AK149" s="3">
        <f t="shared" si="1075"/>
        <v>650</v>
      </c>
      <c r="AL149" s="5">
        <v>44</v>
      </c>
      <c r="AM149" s="6">
        <f t="shared" si="820"/>
        <v>0.39814814814814814</v>
      </c>
      <c r="AP149" s="102"/>
      <c r="AQ149" s="101"/>
      <c r="AR149" s="5">
        <v>44</v>
      </c>
      <c r="AS149" s="6">
        <f t="shared" si="821"/>
        <v>0.39814814814814814</v>
      </c>
      <c r="AT149" s="3">
        <f t="shared" si="1076"/>
        <v>600</v>
      </c>
      <c r="AU149" s="3">
        <f t="shared" si="1076"/>
        <v>600</v>
      </c>
      <c r="AV149" s="3">
        <f t="shared" si="1076"/>
        <v>600</v>
      </c>
      <c r="AW149" s="3">
        <f t="shared" si="1076"/>
        <v>600</v>
      </c>
      <c r="AX149" s="3">
        <f t="shared" si="1076"/>
        <v>600</v>
      </c>
      <c r="AY149" s="3">
        <f t="shared" si="1076"/>
        <v>600</v>
      </c>
      <c r="AZ149" s="3">
        <f t="shared" si="1076"/>
        <v>600</v>
      </c>
      <c r="BA149" s="3">
        <f t="shared" si="1076"/>
        <v>600</v>
      </c>
      <c r="BB149" s="3">
        <f t="shared" si="1076"/>
        <v>600</v>
      </c>
      <c r="BC149" s="3">
        <f t="shared" si="916"/>
        <v>600</v>
      </c>
      <c r="BD149" s="3">
        <f t="shared" si="986"/>
        <v>600</v>
      </c>
      <c r="BE149" s="3">
        <f t="shared" si="1026"/>
        <v>600</v>
      </c>
      <c r="BF149" s="3">
        <f t="shared" si="1053"/>
        <v>600</v>
      </c>
      <c r="BG149" s="3">
        <f t="shared" ref="BG149:BG176" si="1087">$R$2</f>
        <v>600</v>
      </c>
      <c r="BH149" s="3">
        <f t="shared" si="1077"/>
        <v>-2248772168.3015409</v>
      </c>
      <c r="BI149" s="3">
        <f t="shared" si="1078"/>
        <v>-2252211016.4931059</v>
      </c>
      <c r="BJ149" s="3">
        <f t="shared" si="1079"/>
        <v>-2257580115.0835066</v>
      </c>
      <c r="BK149" s="3">
        <f t="shared" ref="BK149:BK176" si="1088">$R$3</f>
        <v>650</v>
      </c>
      <c r="BL149" s="3">
        <f t="shared" si="1054"/>
        <v>650</v>
      </c>
      <c r="BM149" s="3">
        <f t="shared" si="1032"/>
        <v>650</v>
      </c>
      <c r="BN149" s="3">
        <f t="shared" si="994"/>
        <v>650</v>
      </c>
      <c r="BO149" s="3">
        <f t="shared" si="928"/>
        <v>650</v>
      </c>
      <c r="BP149" s="3">
        <f t="shared" si="1080"/>
        <v>650</v>
      </c>
      <c r="BQ149" s="3">
        <f t="shared" si="1080"/>
        <v>650</v>
      </c>
      <c r="BR149" s="3">
        <f t="shared" si="1080"/>
        <v>650</v>
      </c>
      <c r="BS149" s="3">
        <f t="shared" si="1080"/>
        <v>650</v>
      </c>
      <c r="BT149" s="3">
        <f t="shared" si="1080"/>
        <v>650</v>
      </c>
      <c r="BU149" s="3">
        <f t="shared" si="1080"/>
        <v>650</v>
      </c>
      <c r="BV149" s="3">
        <f t="shared" si="1080"/>
        <v>650</v>
      </c>
      <c r="BW149" s="3">
        <f t="shared" si="1080"/>
        <v>650</v>
      </c>
      <c r="BX149" s="3">
        <f t="shared" si="1080"/>
        <v>650</v>
      </c>
      <c r="BY149" s="5">
        <v>44</v>
      </c>
      <c r="BZ149" s="6">
        <f t="shared" si="836"/>
        <v>0.39814814814814814</v>
      </c>
      <c r="CC149" s="94"/>
      <c r="CD149" s="95"/>
      <c r="CE149" s="5">
        <v>44</v>
      </c>
      <c r="CF149" s="6">
        <f t="shared" si="837"/>
        <v>0.39814814814814814</v>
      </c>
      <c r="CG149" s="3">
        <f t="shared" si="1081"/>
        <v>600</v>
      </c>
      <c r="CH149" s="3">
        <f t="shared" si="1081"/>
        <v>600</v>
      </c>
      <c r="CI149" s="3">
        <f t="shared" si="1081"/>
        <v>600</v>
      </c>
      <c r="CJ149" s="3">
        <f t="shared" si="1081"/>
        <v>600</v>
      </c>
      <c r="CK149" s="3">
        <f t="shared" si="1081"/>
        <v>600</v>
      </c>
      <c r="CL149" s="3">
        <f t="shared" si="1081"/>
        <v>600</v>
      </c>
      <c r="CM149" s="3">
        <f t="shared" si="1081"/>
        <v>600</v>
      </c>
      <c r="CN149" s="3">
        <f t="shared" si="1081"/>
        <v>600</v>
      </c>
      <c r="CO149" s="3">
        <f t="shared" si="1081"/>
        <v>600</v>
      </c>
      <c r="CP149" s="3">
        <f t="shared" si="929"/>
        <v>600</v>
      </c>
      <c r="CQ149" s="3">
        <f t="shared" si="995"/>
        <v>600</v>
      </c>
      <c r="CR149" s="3">
        <f t="shared" si="1033"/>
        <v>600</v>
      </c>
      <c r="CS149" s="3">
        <f t="shared" si="1055"/>
        <v>600</v>
      </c>
      <c r="CT149" s="3">
        <f t="shared" ref="CT149:CT176" si="1089">$R$2</f>
        <v>600</v>
      </c>
      <c r="CU149" s="3">
        <f t="shared" ref="CU149:CU192" si="1090">$O$2/($O$3-$O$4*CU148)</f>
        <v>0.11667843062533659</v>
      </c>
      <c r="CV149" s="3">
        <f t="shared" ref="CV149:CV192" si="1091">$O$2/($O$3-$O$4*CV148)</f>
        <v>0.11667843062533659</v>
      </c>
      <c r="CW149" s="3">
        <f t="shared" ref="CW149:CW192" si="1092">$O$2/($O$3-$O$4*CW148)</f>
        <v>0.11667843062533659</v>
      </c>
      <c r="CX149" s="3">
        <f t="shared" ref="CX149:CX176" si="1093">$R$3</f>
        <v>650</v>
      </c>
      <c r="CY149" s="3">
        <f t="shared" si="1061"/>
        <v>650</v>
      </c>
      <c r="CZ149" s="3">
        <f t="shared" si="1041"/>
        <v>650</v>
      </c>
      <c r="DA149" s="3">
        <f t="shared" si="1005"/>
        <v>650</v>
      </c>
      <c r="DB149" s="3">
        <f t="shared" si="941"/>
        <v>650</v>
      </c>
      <c r="DC149" s="3">
        <f t="shared" si="1082"/>
        <v>650</v>
      </c>
      <c r="DD149" s="3">
        <f t="shared" si="1082"/>
        <v>650</v>
      </c>
      <c r="DE149" s="3">
        <f t="shared" si="1082"/>
        <v>650</v>
      </c>
      <c r="DF149" s="3">
        <f t="shared" si="1082"/>
        <v>650</v>
      </c>
      <c r="DG149" s="3">
        <f t="shared" si="1082"/>
        <v>650</v>
      </c>
      <c r="DH149" s="3">
        <f t="shared" si="1082"/>
        <v>650</v>
      </c>
      <c r="DI149" s="3">
        <f t="shared" si="1082"/>
        <v>650</v>
      </c>
      <c r="DJ149" s="3">
        <f t="shared" si="1082"/>
        <v>650</v>
      </c>
      <c r="DK149" s="3">
        <f t="shared" si="1082"/>
        <v>650</v>
      </c>
      <c r="DL149" s="5">
        <v>44</v>
      </c>
      <c r="DM149" s="6">
        <f t="shared" si="840"/>
        <v>0.39814814814814814</v>
      </c>
      <c r="DQ149" s="94"/>
      <c r="DR149" s="95"/>
      <c r="DS149" s="5">
        <v>44</v>
      </c>
      <c r="DT149" s="6">
        <f t="shared" si="841"/>
        <v>0.39814814814814814</v>
      </c>
      <c r="DU149" s="3">
        <f t="shared" si="1083"/>
        <v>600</v>
      </c>
      <c r="DV149" s="3">
        <f t="shared" si="1083"/>
        <v>600</v>
      </c>
      <c r="DW149" s="3">
        <f t="shared" si="1083"/>
        <v>600</v>
      </c>
      <c r="DX149" s="3">
        <f t="shared" si="1083"/>
        <v>600</v>
      </c>
      <c r="DY149" s="3">
        <f t="shared" si="1083"/>
        <v>600</v>
      </c>
      <c r="DZ149" s="3">
        <f t="shared" si="1083"/>
        <v>600</v>
      </c>
      <c r="EA149" s="3">
        <f t="shared" si="1083"/>
        <v>600</v>
      </c>
      <c r="EB149" s="3">
        <f t="shared" si="1083"/>
        <v>600</v>
      </c>
      <c r="EC149" s="3">
        <f t="shared" si="1083"/>
        <v>600</v>
      </c>
      <c r="ED149" s="3">
        <f t="shared" si="942"/>
        <v>600</v>
      </c>
      <c r="EE149" s="3">
        <f t="shared" si="1006"/>
        <v>600</v>
      </c>
      <c r="EF149" s="3">
        <f t="shared" si="1042"/>
        <v>600</v>
      </c>
      <c r="EG149" s="3">
        <f t="shared" si="1062"/>
        <v>600</v>
      </c>
      <c r="EH149" s="3">
        <f t="shared" ref="EH149:EH176" si="1094">$R$2</f>
        <v>600</v>
      </c>
      <c r="EI149" s="3">
        <f t="shared" ref="EI149:EI176" si="1095">(EI148*$O$4-BH149)/($O$3-$O$4*CU148)</f>
        <v>554.85862226951292</v>
      </c>
      <c r="EJ149" s="3">
        <f t="shared" ref="EJ149:EJ176" si="1096">(EJ148*$O$4-BI149)/($O$3-$O$4*CV148)</f>
        <v>555.75208291568413</v>
      </c>
      <c r="EK149" s="3">
        <f t="shared" ref="EK149:EK176" si="1097">(EK148*$O$4-BJ149)/($O$3-$O$4*CW148)</f>
        <v>557.03327551745281</v>
      </c>
      <c r="EL149" s="3">
        <f t="shared" ref="EL149:EL176" si="1098">$R$3</f>
        <v>650</v>
      </c>
      <c r="EM149" s="3">
        <f t="shared" si="1068"/>
        <v>650</v>
      </c>
      <c r="EN149" s="3">
        <f t="shared" si="1050"/>
        <v>650</v>
      </c>
      <c r="EO149" s="3">
        <f t="shared" si="1016"/>
        <v>650</v>
      </c>
      <c r="EP149" s="3">
        <f t="shared" si="954"/>
        <v>650</v>
      </c>
      <c r="EQ149" s="3">
        <f t="shared" si="1084"/>
        <v>650</v>
      </c>
      <c r="ER149" s="3">
        <f t="shared" si="1084"/>
        <v>650</v>
      </c>
      <c r="ES149" s="3">
        <f t="shared" si="1084"/>
        <v>650</v>
      </c>
      <c r="ET149" s="3">
        <f t="shared" si="1084"/>
        <v>650</v>
      </c>
      <c r="EU149" s="3">
        <f t="shared" si="1084"/>
        <v>650</v>
      </c>
      <c r="EV149" s="3">
        <f t="shared" si="1084"/>
        <v>650</v>
      </c>
      <c r="EW149" s="3">
        <f t="shared" si="1084"/>
        <v>650</v>
      </c>
      <c r="EX149" s="3">
        <f t="shared" si="1084"/>
        <v>650</v>
      </c>
      <c r="EY149" s="3">
        <f t="shared" si="1084"/>
        <v>650</v>
      </c>
      <c r="EZ149" s="5">
        <v>44</v>
      </c>
      <c r="FA149" s="6">
        <f t="shared" si="845"/>
        <v>0.39814814814814814</v>
      </c>
    </row>
    <row r="150" spans="3:157" x14ac:dyDescent="0.3">
      <c r="C150" s="94"/>
      <c r="D150" s="95"/>
      <c r="E150" s="5">
        <v>43</v>
      </c>
      <c r="F150" s="6">
        <f t="shared" si="816"/>
        <v>0.38888888888888884</v>
      </c>
      <c r="G150" s="3">
        <f t="shared" si="1069"/>
        <v>600</v>
      </c>
      <c r="H150" s="3">
        <f t="shared" si="1069"/>
        <v>600</v>
      </c>
      <c r="I150" s="3">
        <f t="shared" si="1069"/>
        <v>600</v>
      </c>
      <c r="J150" s="3">
        <f t="shared" si="1069"/>
        <v>600</v>
      </c>
      <c r="K150" s="3">
        <f t="shared" si="1069"/>
        <v>600</v>
      </c>
      <c r="L150" s="3">
        <f t="shared" si="1069"/>
        <v>600</v>
      </c>
      <c r="M150" s="3">
        <f t="shared" si="1069"/>
        <v>600</v>
      </c>
      <c r="N150" s="3">
        <f t="shared" si="1069"/>
        <v>600</v>
      </c>
      <c r="O150" s="3">
        <f t="shared" si="1069"/>
        <v>600</v>
      </c>
      <c r="P150" s="3">
        <f t="shared" si="914"/>
        <v>600</v>
      </c>
      <c r="Q150" s="3">
        <f t="shared" si="975"/>
        <v>600</v>
      </c>
      <c r="R150" s="3">
        <f t="shared" si="1017"/>
        <v>600</v>
      </c>
      <c r="S150" s="3">
        <f t="shared" si="1051"/>
        <v>600</v>
      </c>
      <c r="T150" s="3">
        <f t="shared" si="1085"/>
        <v>600</v>
      </c>
      <c r="U150" s="3">
        <f t="shared" si="1071"/>
        <v>620.93182200076706</v>
      </c>
      <c r="V150" s="3">
        <f t="shared" si="1072"/>
        <v>621.76596067672767</v>
      </c>
      <c r="W150" s="3">
        <f t="shared" si="1073"/>
        <v>623.30457902957539</v>
      </c>
      <c r="X150" s="3">
        <f t="shared" si="1086"/>
        <v>650</v>
      </c>
      <c r="Y150" s="3">
        <f t="shared" si="1052"/>
        <v>650</v>
      </c>
      <c r="Z150" s="3">
        <f t="shared" si="1025"/>
        <v>650</v>
      </c>
      <c r="AA150" s="3">
        <f t="shared" si="985"/>
        <v>650</v>
      </c>
      <c r="AB150" s="3">
        <f t="shared" si="915"/>
        <v>650</v>
      </c>
      <c r="AC150" s="3">
        <f t="shared" si="1075"/>
        <v>650</v>
      </c>
      <c r="AD150" s="3">
        <f t="shared" si="1075"/>
        <v>650</v>
      </c>
      <c r="AE150" s="3">
        <f t="shared" si="1075"/>
        <v>650</v>
      </c>
      <c r="AF150" s="3">
        <f t="shared" si="1075"/>
        <v>650</v>
      </c>
      <c r="AG150" s="3">
        <f t="shared" si="1075"/>
        <v>650</v>
      </c>
      <c r="AH150" s="3">
        <f t="shared" si="1075"/>
        <v>650</v>
      </c>
      <c r="AI150" s="3">
        <f t="shared" si="1075"/>
        <v>650</v>
      </c>
      <c r="AJ150" s="3">
        <f t="shared" si="1075"/>
        <v>650</v>
      </c>
      <c r="AK150" s="3">
        <f t="shared" si="1075"/>
        <v>650</v>
      </c>
      <c r="AL150" s="5">
        <v>43</v>
      </c>
      <c r="AM150" s="6">
        <f t="shared" si="820"/>
        <v>0.38888888888888884</v>
      </c>
      <c r="AP150" s="102"/>
      <c r="AQ150" s="101"/>
      <c r="AR150" s="5">
        <v>43</v>
      </c>
      <c r="AS150" s="6">
        <f t="shared" si="821"/>
        <v>0.38888888888888884</v>
      </c>
      <c r="AT150" s="3">
        <f t="shared" si="1076"/>
        <v>600</v>
      </c>
      <c r="AU150" s="3">
        <f t="shared" si="1076"/>
        <v>600</v>
      </c>
      <c r="AV150" s="3">
        <f t="shared" si="1076"/>
        <v>600</v>
      </c>
      <c r="AW150" s="3">
        <f t="shared" si="1076"/>
        <v>600</v>
      </c>
      <c r="AX150" s="3">
        <f t="shared" si="1076"/>
        <v>600</v>
      </c>
      <c r="AY150" s="3">
        <f t="shared" si="1076"/>
        <v>600</v>
      </c>
      <c r="AZ150" s="3">
        <f t="shared" si="1076"/>
        <v>600</v>
      </c>
      <c r="BA150" s="3">
        <f t="shared" si="1076"/>
        <v>600</v>
      </c>
      <c r="BB150" s="3">
        <f t="shared" si="1076"/>
        <v>600</v>
      </c>
      <c r="BC150" s="3">
        <f t="shared" si="916"/>
        <v>600</v>
      </c>
      <c r="BD150" s="3">
        <f t="shared" si="986"/>
        <v>600</v>
      </c>
      <c r="BE150" s="3">
        <f t="shared" si="1026"/>
        <v>600</v>
      </c>
      <c r="BF150" s="3">
        <f t="shared" si="1053"/>
        <v>600</v>
      </c>
      <c r="BG150" s="3">
        <f t="shared" si="1087"/>
        <v>600</v>
      </c>
      <c r="BH150" s="3">
        <f t="shared" si="1077"/>
        <v>-2226616896.5033031</v>
      </c>
      <c r="BI150" s="3">
        <f t="shared" si="1078"/>
        <v>-2229573331.9237876</v>
      </c>
      <c r="BJ150" s="3">
        <f t="shared" si="1079"/>
        <v>-2235117131.17696</v>
      </c>
      <c r="BK150" s="3">
        <f t="shared" si="1088"/>
        <v>650</v>
      </c>
      <c r="BL150" s="3">
        <f t="shared" si="1054"/>
        <v>650</v>
      </c>
      <c r="BM150" s="3">
        <f t="shared" si="1032"/>
        <v>650</v>
      </c>
      <c r="BN150" s="3">
        <f t="shared" si="994"/>
        <v>650</v>
      </c>
      <c r="BO150" s="3">
        <f t="shared" si="928"/>
        <v>650</v>
      </c>
      <c r="BP150" s="3">
        <f t="shared" si="1080"/>
        <v>650</v>
      </c>
      <c r="BQ150" s="3">
        <f t="shared" si="1080"/>
        <v>650</v>
      </c>
      <c r="BR150" s="3">
        <f t="shared" si="1080"/>
        <v>650</v>
      </c>
      <c r="BS150" s="3">
        <f t="shared" si="1080"/>
        <v>650</v>
      </c>
      <c r="BT150" s="3">
        <f t="shared" si="1080"/>
        <v>650</v>
      </c>
      <c r="BU150" s="3">
        <f t="shared" si="1080"/>
        <v>650</v>
      </c>
      <c r="BV150" s="3">
        <f t="shared" si="1080"/>
        <v>650</v>
      </c>
      <c r="BW150" s="3">
        <f t="shared" si="1080"/>
        <v>650</v>
      </c>
      <c r="BX150" s="3">
        <f t="shared" si="1080"/>
        <v>650</v>
      </c>
      <c r="BY150" s="5">
        <v>43</v>
      </c>
      <c r="BZ150" s="6">
        <f t="shared" si="836"/>
        <v>0.38888888888888884</v>
      </c>
      <c r="CC150" s="94"/>
      <c r="CD150" s="95"/>
      <c r="CE150" s="5">
        <v>43</v>
      </c>
      <c r="CF150" s="6">
        <f t="shared" si="837"/>
        <v>0.38888888888888884</v>
      </c>
      <c r="CG150" s="3">
        <f t="shared" si="1081"/>
        <v>600</v>
      </c>
      <c r="CH150" s="3">
        <f t="shared" si="1081"/>
        <v>600</v>
      </c>
      <c r="CI150" s="3">
        <f t="shared" si="1081"/>
        <v>600</v>
      </c>
      <c r="CJ150" s="3">
        <f t="shared" si="1081"/>
        <v>600</v>
      </c>
      <c r="CK150" s="3">
        <f t="shared" si="1081"/>
        <v>600</v>
      </c>
      <c r="CL150" s="3">
        <f t="shared" si="1081"/>
        <v>600</v>
      </c>
      <c r="CM150" s="3">
        <f t="shared" si="1081"/>
        <v>600</v>
      </c>
      <c r="CN150" s="3">
        <f t="shared" si="1081"/>
        <v>600</v>
      </c>
      <c r="CO150" s="3">
        <f t="shared" si="1081"/>
        <v>600</v>
      </c>
      <c r="CP150" s="3">
        <f t="shared" si="929"/>
        <v>600</v>
      </c>
      <c r="CQ150" s="3">
        <f t="shared" si="995"/>
        <v>600</v>
      </c>
      <c r="CR150" s="3">
        <f t="shared" si="1033"/>
        <v>600</v>
      </c>
      <c r="CS150" s="3">
        <f t="shared" si="1055"/>
        <v>600</v>
      </c>
      <c r="CT150" s="3">
        <f t="shared" si="1089"/>
        <v>600</v>
      </c>
      <c r="CU150" s="3">
        <f t="shared" si="1090"/>
        <v>0.11667843062533659</v>
      </c>
      <c r="CV150" s="3">
        <f t="shared" si="1091"/>
        <v>0.11667843062533659</v>
      </c>
      <c r="CW150" s="3">
        <f t="shared" si="1092"/>
        <v>0.11667843062533659</v>
      </c>
      <c r="CX150" s="3">
        <f t="shared" si="1093"/>
        <v>650</v>
      </c>
      <c r="CY150" s="3">
        <f t="shared" si="1061"/>
        <v>650</v>
      </c>
      <c r="CZ150" s="3">
        <f t="shared" si="1041"/>
        <v>650</v>
      </c>
      <c r="DA150" s="3">
        <f t="shared" si="1005"/>
        <v>650</v>
      </c>
      <c r="DB150" s="3">
        <f t="shared" si="941"/>
        <v>650</v>
      </c>
      <c r="DC150" s="3">
        <f t="shared" si="1082"/>
        <v>650</v>
      </c>
      <c r="DD150" s="3">
        <f t="shared" si="1082"/>
        <v>650</v>
      </c>
      <c r="DE150" s="3">
        <f t="shared" si="1082"/>
        <v>650</v>
      </c>
      <c r="DF150" s="3">
        <f t="shared" si="1082"/>
        <v>650</v>
      </c>
      <c r="DG150" s="3">
        <f t="shared" si="1082"/>
        <v>650</v>
      </c>
      <c r="DH150" s="3">
        <f t="shared" si="1082"/>
        <v>650</v>
      </c>
      <c r="DI150" s="3">
        <f t="shared" si="1082"/>
        <v>650</v>
      </c>
      <c r="DJ150" s="3">
        <f t="shared" si="1082"/>
        <v>650</v>
      </c>
      <c r="DK150" s="3">
        <f t="shared" si="1082"/>
        <v>650</v>
      </c>
      <c r="DL150" s="5">
        <v>43</v>
      </c>
      <c r="DM150" s="6">
        <f t="shared" si="840"/>
        <v>0.38888888888888884</v>
      </c>
      <c r="DQ150" s="94"/>
      <c r="DR150" s="95"/>
      <c r="DS150" s="5">
        <v>43</v>
      </c>
      <c r="DT150" s="6">
        <f t="shared" si="841"/>
        <v>0.38888888888888884</v>
      </c>
      <c r="DU150" s="3">
        <f t="shared" si="1083"/>
        <v>600</v>
      </c>
      <c r="DV150" s="3">
        <f t="shared" si="1083"/>
        <v>600</v>
      </c>
      <c r="DW150" s="3">
        <f t="shared" si="1083"/>
        <v>600</v>
      </c>
      <c r="DX150" s="3">
        <f t="shared" si="1083"/>
        <v>600</v>
      </c>
      <c r="DY150" s="3">
        <f t="shared" si="1083"/>
        <v>600</v>
      </c>
      <c r="DZ150" s="3">
        <f t="shared" si="1083"/>
        <v>600</v>
      </c>
      <c r="EA150" s="3">
        <f t="shared" si="1083"/>
        <v>600</v>
      </c>
      <c r="EB150" s="3">
        <f t="shared" si="1083"/>
        <v>600</v>
      </c>
      <c r="EC150" s="3">
        <f t="shared" si="1083"/>
        <v>600</v>
      </c>
      <c r="ED150" s="3">
        <f t="shared" si="942"/>
        <v>600</v>
      </c>
      <c r="EE150" s="3">
        <f t="shared" si="1006"/>
        <v>600</v>
      </c>
      <c r="EF150" s="3">
        <f t="shared" si="1042"/>
        <v>600</v>
      </c>
      <c r="EG150" s="3">
        <f t="shared" si="1062"/>
        <v>600</v>
      </c>
      <c r="EH150" s="3">
        <f t="shared" si="1094"/>
        <v>600</v>
      </c>
      <c r="EI150" s="3">
        <f t="shared" si="1095"/>
        <v>548.9466688588135</v>
      </c>
      <c r="EJ150" s="3">
        <f t="shared" si="1096"/>
        <v>549.69383155544449</v>
      </c>
      <c r="EK150" s="3">
        <f t="shared" si="1097"/>
        <v>551.048889929692</v>
      </c>
      <c r="EL150" s="3">
        <f t="shared" si="1098"/>
        <v>650</v>
      </c>
      <c r="EM150" s="3">
        <f t="shared" si="1068"/>
        <v>650</v>
      </c>
      <c r="EN150" s="3">
        <f t="shared" si="1050"/>
        <v>650</v>
      </c>
      <c r="EO150" s="3">
        <f t="shared" si="1016"/>
        <v>650</v>
      </c>
      <c r="EP150" s="3">
        <f t="shared" si="954"/>
        <v>650</v>
      </c>
      <c r="EQ150" s="3">
        <f t="shared" si="1084"/>
        <v>650</v>
      </c>
      <c r="ER150" s="3">
        <f t="shared" si="1084"/>
        <v>650</v>
      </c>
      <c r="ES150" s="3">
        <f t="shared" si="1084"/>
        <v>650</v>
      </c>
      <c r="ET150" s="3">
        <f t="shared" si="1084"/>
        <v>650</v>
      </c>
      <c r="EU150" s="3">
        <f t="shared" si="1084"/>
        <v>650</v>
      </c>
      <c r="EV150" s="3">
        <f t="shared" si="1084"/>
        <v>650</v>
      </c>
      <c r="EW150" s="3">
        <f t="shared" si="1084"/>
        <v>650</v>
      </c>
      <c r="EX150" s="3">
        <f t="shared" si="1084"/>
        <v>650</v>
      </c>
      <c r="EY150" s="3">
        <f t="shared" si="1084"/>
        <v>650</v>
      </c>
      <c r="EZ150" s="5">
        <v>43</v>
      </c>
      <c r="FA150" s="6">
        <f t="shared" si="845"/>
        <v>0.38888888888888884</v>
      </c>
    </row>
    <row r="151" spans="3:157" x14ac:dyDescent="0.3">
      <c r="C151" s="94"/>
      <c r="D151" s="95"/>
      <c r="E151" s="5">
        <v>42</v>
      </c>
      <c r="F151" s="6">
        <f t="shared" si="816"/>
        <v>0.37962962962962959</v>
      </c>
      <c r="G151" s="3">
        <f t="shared" si="1069"/>
        <v>600</v>
      </c>
      <c r="H151" s="3">
        <f t="shared" si="1069"/>
        <v>600</v>
      </c>
      <c r="I151" s="3">
        <f t="shared" si="1069"/>
        <v>600</v>
      </c>
      <c r="J151" s="3">
        <f t="shared" si="1069"/>
        <v>600</v>
      </c>
      <c r="K151" s="3">
        <f t="shared" si="1069"/>
        <v>600</v>
      </c>
      <c r="L151" s="3">
        <f t="shared" si="1069"/>
        <v>600</v>
      </c>
      <c r="M151" s="3">
        <f t="shared" si="1069"/>
        <v>600</v>
      </c>
      <c r="N151" s="3">
        <f t="shared" si="1069"/>
        <v>600</v>
      </c>
      <c r="O151" s="3">
        <f t="shared" si="1069"/>
        <v>600</v>
      </c>
      <c r="P151" s="3">
        <f t="shared" si="914"/>
        <v>600</v>
      </c>
      <c r="Q151" s="3">
        <f t="shared" si="975"/>
        <v>600</v>
      </c>
      <c r="R151" s="3">
        <f t="shared" si="1017"/>
        <v>600</v>
      </c>
      <c r="S151" s="3">
        <f t="shared" si="1051"/>
        <v>600</v>
      </c>
      <c r="T151" s="3">
        <f t="shared" si="1085"/>
        <v>600</v>
      </c>
      <c r="U151" s="3">
        <f t="shared" si="1071"/>
        <v>616.95338852391149</v>
      </c>
      <c r="V151" s="3">
        <f t="shared" si="1072"/>
        <v>617.69882175320299</v>
      </c>
      <c r="W151" s="3">
        <f t="shared" si="1073"/>
        <v>619.27203436513423</v>
      </c>
      <c r="X151" s="3">
        <f t="shared" si="1086"/>
        <v>650</v>
      </c>
      <c r="Y151" s="3">
        <f t="shared" si="1052"/>
        <v>650</v>
      </c>
      <c r="Z151" s="3">
        <f t="shared" si="1025"/>
        <v>650</v>
      </c>
      <c r="AA151" s="3">
        <f t="shared" si="985"/>
        <v>650</v>
      </c>
      <c r="AB151" s="3">
        <f t="shared" si="915"/>
        <v>650</v>
      </c>
      <c r="AC151" s="3">
        <f t="shared" si="1075"/>
        <v>650</v>
      </c>
      <c r="AD151" s="3">
        <f t="shared" si="1075"/>
        <v>650</v>
      </c>
      <c r="AE151" s="3">
        <f t="shared" si="1075"/>
        <v>650</v>
      </c>
      <c r="AF151" s="3">
        <f t="shared" si="1075"/>
        <v>650</v>
      </c>
      <c r="AG151" s="3">
        <f t="shared" si="1075"/>
        <v>650</v>
      </c>
      <c r="AH151" s="3">
        <f t="shared" si="1075"/>
        <v>650</v>
      </c>
      <c r="AI151" s="3">
        <f t="shared" si="1075"/>
        <v>650</v>
      </c>
      <c r="AJ151" s="3">
        <f t="shared" si="1075"/>
        <v>650</v>
      </c>
      <c r="AK151" s="3">
        <f t="shared" si="1075"/>
        <v>650</v>
      </c>
      <c r="AL151" s="5">
        <v>42</v>
      </c>
      <c r="AM151" s="6">
        <f t="shared" si="820"/>
        <v>0.37962962962962959</v>
      </c>
      <c r="AP151" s="102"/>
      <c r="AQ151" s="101"/>
      <c r="AR151" s="5">
        <v>42</v>
      </c>
      <c r="AS151" s="6">
        <f t="shared" si="821"/>
        <v>0.37962962962962959</v>
      </c>
      <c r="AT151" s="3">
        <f t="shared" si="1076"/>
        <v>600</v>
      </c>
      <c r="AU151" s="3">
        <f t="shared" si="1076"/>
        <v>600</v>
      </c>
      <c r="AV151" s="3">
        <f t="shared" si="1076"/>
        <v>600</v>
      </c>
      <c r="AW151" s="3">
        <f t="shared" si="1076"/>
        <v>600</v>
      </c>
      <c r="AX151" s="3">
        <f t="shared" si="1076"/>
        <v>600</v>
      </c>
      <c r="AY151" s="3">
        <f t="shared" si="1076"/>
        <v>600</v>
      </c>
      <c r="AZ151" s="3">
        <f t="shared" si="1076"/>
        <v>600</v>
      </c>
      <c r="BA151" s="3">
        <f t="shared" si="1076"/>
        <v>600</v>
      </c>
      <c r="BB151" s="3">
        <f t="shared" si="1076"/>
        <v>600</v>
      </c>
      <c r="BC151" s="3">
        <f t="shared" si="916"/>
        <v>600</v>
      </c>
      <c r="BD151" s="3">
        <f t="shared" si="986"/>
        <v>600</v>
      </c>
      <c r="BE151" s="3">
        <f t="shared" si="1026"/>
        <v>600</v>
      </c>
      <c r="BF151" s="3">
        <f t="shared" si="1053"/>
        <v>600</v>
      </c>
      <c r="BG151" s="3">
        <f t="shared" si="1087"/>
        <v>600</v>
      </c>
      <c r="BH151" s="3">
        <f t="shared" si="1077"/>
        <v>-2212823644.9906836</v>
      </c>
      <c r="BI151" s="3">
        <f t="shared" si="1078"/>
        <v>-2215479743.7353187</v>
      </c>
      <c r="BJ151" s="3">
        <f t="shared" si="1079"/>
        <v>-2221132306.726665</v>
      </c>
      <c r="BK151" s="3">
        <f t="shared" si="1088"/>
        <v>650</v>
      </c>
      <c r="BL151" s="3">
        <f t="shared" si="1054"/>
        <v>650</v>
      </c>
      <c r="BM151" s="3">
        <f t="shared" si="1032"/>
        <v>650</v>
      </c>
      <c r="BN151" s="3">
        <f t="shared" si="994"/>
        <v>650</v>
      </c>
      <c r="BO151" s="3">
        <f t="shared" si="928"/>
        <v>650</v>
      </c>
      <c r="BP151" s="3">
        <f t="shared" si="1080"/>
        <v>650</v>
      </c>
      <c r="BQ151" s="3">
        <f t="shared" si="1080"/>
        <v>650</v>
      </c>
      <c r="BR151" s="3">
        <f t="shared" si="1080"/>
        <v>650</v>
      </c>
      <c r="BS151" s="3">
        <f t="shared" si="1080"/>
        <v>650</v>
      </c>
      <c r="BT151" s="3">
        <f t="shared" si="1080"/>
        <v>650</v>
      </c>
      <c r="BU151" s="3">
        <f t="shared" si="1080"/>
        <v>650</v>
      </c>
      <c r="BV151" s="3">
        <f t="shared" si="1080"/>
        <v>650</v>
      </c>
      <c r="BW151" s="3">
        <f t="shared" si="1080"/>
        <v>650</v>
      </c>
      <c r="BX151" s="3">
        <f t="shared" si="1080"/>
        <v>650</v>
      </c>
      <c r="BY151" s="5">
        <v>42</v>
      </c>
      <c r="BZ151" s="6">
        <f t="shared" si="836"/>
        <v>0.37962962962962959</v>
      </c>
      <c r="CC151" s="94"/>
      <c r="CD151" s="95"/>
      <c r="CE151" s="5">
        <v>42</v>
      </c>
      <c r="CF151" s="6">
        <f t="shared" si="837"/>
        <v>0.37962962962962959</v>
      </c>
      <c r="CG151" s="3">
        <f t="shared" si="1081"/>
        <v>600</v>
      </c>
      <c r="CH151" s="3">
        <f t="shared" si="1081"/>
        <v>600</v>
      </c>
      <c r="CI151" s="3">
        <f t="shared" si="1081"/>
        <v>600</v>
      </c>
      <c r="CJ151" s="3">
        <f t="shared" si="1081"/>
        <v>600</v>
      </c>
      <c r="CK151" s="3">
        <f t="shared" si="1081"/>
        <v>600</v>
      </c>
      <c r="CL151" s="3">
        <f t="shared" si="1081"/>
        <v>600</v>
      </c>
      <c r="CM151" s="3">
        <f t="shared" si="1081"/>
        <v>600</v>
      </c>
      <c r="CN151" s="3">
        <f t="shared" si="1081"/>
        <v>600</v>
      </c>
      <c r="CO151" s="3">
        <f t="shared" si="1081"/>
        <v>600</v>
      </c>
      <c r="CP151" s="3">
        <f t="shared" si="929"/>
        <v>600</v>
      </c>
      <c r="CQ151" s="3">
        <f t="shared" si="995"/>
        <v>600</v>
      </c>
      <c r="CR151" s="3">
        <f t="shared" si="1033"/>
        <v>600</v>
      </c>
      <c r="CS151" s="3">
        <f t="shared" si="1055"/>
        <v>600</v>
      </c>
      <c r="CT151" s="3">
        <f t="shared" si="1089"/>
        <v>600</v>
      </c>
      <c r="CU151" s="3">
        <f t="shared" si="1090"/>
        <v>0.11667843062533659</v>
      </c>
      <c r="CV151" s="3">
        <f t="shared" si="1091"/>
        <v>0.11667843062533659</v>
      </c>
      <c r="CW151" s="3">
        <f t="shared" si="1092"/>
        <v>0.11667843062533659</v>
      </c>
      <c r="CX151" s="3">
        <f t="shared" si="1093"/>
        <v>650</v>
      </c>
      <c r="CY151" s="3">
        <f t="shared" si="1061"/>
        <v>650</v>
      </c>
      <c r="CZ151" s="3">
        <f t="shared" si="1041"/>
        <v>650</v>
      </c>
      <c r="DA151" s="3">
        <f t="shared" si="1005"/>
        <v>650</v>
      </c>
      <c r="DB151" s="3">
        <f t="shared" si="941"/>
        <v>650</v>
      </c>
      <c r="DC151" s="3">
        <f t="shared" si="1082"/>
        <v>650</v>
      </c>
      <c r="DD151" s="3">
        <f t="shared" si="1082"/>
        <v>650</v>
      </c>
      <c r="DE151" s="3">
        <f t="shared" si="1082"/>
        <v>650</v>
      </c>
      <c r="DF151" s="3">
        <f t="shared" si="1082"/>
        <v>650</v>
      </c>
      <c r="DG151" s="3">
        <f t="shared" si="1082"/>
        <v>650</v>
      </c>
      <c r="DH151" s="3">
        <f t="shared" si="1082"/>
        <v>650</v>
      </c>
      <c r="DI151" s="3">
        <f t="shared" si="1082"/>
        <v>650</v>
      </c>
      <c r="DJ151" s="3">
        <f t="shared" si="1082"/>
        <v>650</v>
      </c>
      <c r="DK151" s="3">
        <f t="shared" si="1082"/>
        <v>650</v>
      </c>
      <c r="DL151" s="5">
        <v>42</v>
      </c>
      <c r="DM151" s="6">
        <f t="shared" si="840"/>
        <v>0.37962962962962959</v>
      </c>
      <c r="DQ151" s="94"/>
      <c r="DR151" s="95"/>
      <c r="DS151" s="5">
        <v>42</v>
      </c>
      <c r="DT151" s="6">
        <f t="shared" si="841"/>
        <v>0.37962962962962959</v>
      </c>
      <c r="DU151" s="3">
        <f t="shared" si="1083"/>
        <v>600</v>
      </c>
      <c r="DV151" s="3">
        <f t="shared" si="1083"/>
        <v>600</v>
      </c>
      <c r="DW151" s="3">
        <f t="shared" si="1083"/>
        <v>600</v>
      </c>
      <c r="DX151" s="3">
        <f t="shared" si="1083"/>
        <v>600</v>
      </c>
      <c r="DY151" s="3">
        <f t="shared" si="1083"/>
        <v>600</v>
      </c>
      <c r="DZ151" s="3">
        <f t="shared" si="1083"/>
        <v>600</v>
      </c>
      <c r="EA151" s="3">
        <f t="shared" si="1083"/>
        <v>600</v>
      </c>
      <c r="EB151" s="3">
        <f t="shared" si="1083"/>
        <v>600</v>
      </c>
      <c r="EC151" s="3">
        <f t="shared" si="1083"/>
        <v>600</v>
      </c>
      <c r="ED151" s="3">
        <f t="shared" si="942"/>
        <v>600</v>
      </c>
      <c r="EE151" s="3">
        <f t="shared" si="1006"/>
        <v>600</v>
      </c>
      <c r="EF151" s="3">
        <f t="shared" si="1042"/>
        <v>600</v>
      </c>
      <c r="EG151" s="3">
        <f t="shared" si="1062"/>
        <v>600</v>
      </c>
      <c r="EH151" s="3">
        <f t="shared" si="1094"/>
        <v>600</v>
      </c>
      <c r="EI151" s="3">
        <f t="shared" si="1095"/>
        <v>545.25735051675599</v>
      </c>
      <c r="EJ151" s="3">
        <f t="shared" si="1096"/>
        <v>545.92213130454002</v>
      </c>
      <c r="EK151" s="3">
        <f t="shared" si="1097"/>
        <v>547.30946030244149</v>
      </c>
      <c r="EL151" s="3">
        <f t="shared" si="1098"/>
        <v>650</v>
      </c>
      <c r="EM151" s="3">
        <f t="shared" si="1068"/>
        <v>650</v>
      </c>
      <c r="EN151" s="3">
        <f t="shared" si="1050"/>
        <v>650</v>
      </c>
      <c r="EO151" s="3">
        <f t="shared" si="1016"/>
        <v>650</v>
      </c>
      <c r="EP151" s="3">
        <f t="shared" si="954"/>
        <v>650</v>
      </c>
      <c r="EQ151" s="3">
        <f t="shared" si="1084"/>
        <v>650</v>
      </c>
      <c r="ER151" s="3">
        <f t="shared" si="1084"/>
        <v>650</v>
      </c>
      <c r="ES151" s="3">
        <f t="shared" si="1084"/>
        <v>650</v>
      </c>
      <c r="ET151" s="3">
        <f t="shared" si="1084"/>
        <v>650</v>
      </c>
      <c r="EU151" s="3">
        <f t="shared" si="1084"/>
        <v>650</v>
      </c>
      <c r="EV151" s="3">
        <f t="shared" si="1084"/>
        <v>650</v>
      </c>
      <c r="EW151" s="3">
        <f t="shared" si="1084"/>
        <v>650</v>
      </c>
      <c r="EX151" s="3">
        <f t="shared" si="1084"/>
        <v>650</v>
      </c>
      <c r="EY151" s="3">
        <f t="shared" si="1084"/>
        <v>650</v>
      </c>
      <c r="EZ151" s="5">
        <v>42</v>
      </c>
      <c r="FA151" s="6">
        <f t="shared" si="845"/>
        <v>0.37962962962962959</v>
      </c>
    </row>
    <row r="152" spans="3:157" x14ac:dyDescent="0.3">
      <c r="C152" s="94"/>
      <c r="D152" s="95"/>
      <c r="E152" s="5">
        <v>41</v>
      </c>
      <c r="F152" s="6">
        <f t="shared" si="816"/>
        <v>0.37037037037037035</v>
      </c>
      <c r="G152" s="3">
        <f t="shared" si="1069"/>
        <v>600</v>
      </c>
      <c r="H152" s="3">
        <f t="shared" si="1069"/>
        <v>600</v>
      </c>
      <c r="I152" s="3">
        <f t="shared" si="1069"/>
        <v>600</v>
      </c>
      <c r="J152" s="3">
        <f t="shared" si="1069"/>
        <v>600</v>
      </c>
      <c r="K152" s="3">
        <f t="shared" si="1069"/>
        <v>600</v>
      </c>
      <c r="L152" s="3">
        <f t="shared" si="1069"/>
        <v>600</v>
      </c>
      <c r="M152" s="3">
        <f t="shared" si="1069"/>
        <v>600</v>
      </c>
      <c r="N152" s="3">
        <f t="shared" si="1069"/>
        <v>600</v>
      </c>
      <c r="O152" s="3">
        <f t="shared" si="1069"/>
        <v>600</v>
      </c>
      <c r="P152" s="3">
        <f t="shared" si="914"/>
        <v>600</v>
      </c>
      <c r="Q152" s="3">
        <f t="shared" si="975"/>
        <v>600</v>
      </c>
      <c r="R152" s="3">
        <f t="shared" si="1017"/>
        <v>600</v>
      </c>
      <c r="S152" s="3">
        <f t="shared" si="1051"/>
        <v>600</v>
      </c>
      <c r="T152" s="3">
        <f t="shared" si="1085"/>
        <v>600</v>
      </c>
      <c r="U152" s="3">
        <f t="shared" si="1071"/>
        <v>614.47550865144001</v>
      </c>
      <c r="V152" s="3">
        <f t="shared" si="1072"/>
        <v>615.16674559279465</v>
      </c>
      <c r="W152" s="3">
        <f t="shared" si="1073"/>
        <v>616.75987307174307</v>
      </c>
      <c r="X152" s="3">
        <f t="shared" si="1086"/>
        <v>650</v>
      </c>
      <c r="Y152" s="3">
        <f t="shared" si="1052"/>
        <v>650</v>
      </c>
      <c r="Z152" s="3">
        <f t="shared" si="1025"/>
        <v>650</v>
      </c>
      <c r="AA152" s="3">
        <f t="shared" si="985"/>
        <v>650</v>
      </c>
      <c r="AB152" s="3">
        <f t="shared" si="915"/>
        <v>650</v>
      </c>
      <c r="AC152" s="3">
        <f t="shared" si="1075"/>
        <v>650</v>
      </c>
      <c r="AD152" s="3">
        <f t="shared" si="1075"/>
        <v>650</v>
      </c>
      <c r="AE152" s="3">
        <f t="shared" si="1075"/>
        <v>650</v>
      </c>
      <c r="AF152" s="3">
        <f t="shared" si="1075"/>
        <v>650</v>
      </c>
      <c r="AG152" s="3">
        <f t="shared" si="1075"/>
        <v>650</v>
      </c>
      <c r="AH152" s="3">
        <f t="shared" si="1075"/>
        <v>650</v>
      </c>
      <c r="AI152" s="3">
        <f t="shared" si="1075"/>
        <v>650</v>
      </c>
      <c r="AJ152" s="3">
        <f t="shared" si="1075"/>
        <v>650</v>
      </c>
      <c r="AK152" s="3">
        <f t="shared" si="1075"/>
        <v>650</v>
      </c>
      <c r="AL152" s="5">
        <v>41</v>
      </c>
      <c r="AM152" s="6">
        <f t="shared" si="820"/>
        <v>0.37037037037037035</v>
      </c>
      <c r="AP152" s="102"/>
      <c r="AQ152" s="101"/>
      <c r="AR152" s="5">
        <v>41</v>
      </c>
      <c r="AS152" s="6">
        <f t="shared" si="821"/>
        <v>0.37037037037037035</v>
      </c>
      <c r="AT152" s="3">
        <f t="shared" si="1076"/>
        <v>600</v>
      </c>
      <c r="AU152" s="3">
        <f t="shared" si="1076"/>
        <v>600</v>
      </c>
      <c r="AV152" s="3">
        <f t="shared" si="1076"/>
        <v>600</v>
      </c>
      <c r="AW152" s="3">
        <f t="shared" si="1076"/>
        <v>600</v>
      </c>
      <c r="AX152" s="3">
        <f t="shared" si="1076"/>
        <v>600</v>
      </c>
      <c r="AY152" s="3">
        <f t="shared" si="1076"/>
        <v>600</v>
      </c>
      <c r="AZ152" s="3">
        <f t="shared" si="1076"/>
        <v>600</v>
      </c>
      <c r="BA152" s="3">
        <f t="shared" si="1076"/>
        <v>600</v>
      </c>
      <c r="BB152" s="3">
        <f t="shared" si="1076"/>
        <v>600</v>
      </c>
      <c r="BC152" s="3">
        <f t="shared" si="916"/>
        <v>600</v>
      </c>
      <c r="BD152" s="3">
        <f t="shared" si="986"/>
        <v>600</v>
      </c>
      <c r="BE152" s="3">
        <f t="shared" si="1026"/>
        <v>600</v>
      </c>
      <c r="BF152" s="3">
        <f t="shared" si="1053"/>
        <v>600</v>
      </c>
      <c r="BG152" s="3">
        <f t="shared" si="1087"/>
        <v>600</v>
      </c>
      <c r="BH152" s="3">
        <f t="shared" si="1077"/>
        <v>-2204236392.4961953</v>
      </c>
      <c r="BI152" s="3">
        <f t="shared" si="1078"/>
        <v>-2206705510.9000092</v>
      </c>
      <c r="BJ152" s="3">
        <f t="shared" si="1079"/>
        <v>-2212425786.8364201</v>
      </c>
      <c r="BK152" s="3">
        <f t="shared" si="1088"/>
        <v>650</v>
      </c>
      <c r="BL152" s="3">
        <f t="shared" si="1054"/>
        <v>650</v>
      </c>
      <c r="BM152" s="3">
        <f t="shared" si="1032"/>
        <v>650</v>
      </c>
      <c r="BN152" s="3">
        <f t="shared" si="994"/>
        <v>650</v>
      </c>
      <c r="BO152" s="3">
        <f t="shared" si="928"/>
        <v>650</v>
      </c>
      <c r="BP152" s="3">
        <f t="shared" si="1080"/>
        <v>650</v>
      </c>
      <c r="BQ152" s="3">
        <f t="shared" si="1080"/>
        <v>650</v>
      </c>
      <c r="BR152" s="3">
        <f t="shared" si="1080"/>
        <v>650</v>
      </c>
      <c r="BS152" s="3">
        <f t="shared" si="1080"/>
        <v>650</v>
      </c>
      <c r="BT152" s="3">
        <f t="shared" si="1080"/>
        <v>650</v>
      </c>
      <c r="BU152" s="3">
        <f t="shared" si="1080"/>
        <v>650</v>
      </c>
      <c r="BV152" s="3">
        <f t="shared" si="1080"/>
        <v>650</v>
      </c>
      <c r="BW152" s="3">
        <f t="shared" si="1080"/>
        <v>650</v>
      </c>
      <c r="BX152" s="3">
        <f t="shared" si="1080"/>
        <v>650</v>
      </c>
      <c r="BY152" s="5">
        <v>41</v>
      </c>
      <c r="BZ152" s="6">
        <f t="shared" si="836"/>
        <v>0.37037037037037035</v>
      </c>
      <c r="CC152" s="94"/>
      <c r="CD152" s="95"/>
      <c r="CE152" s="5">
        <v>41</v>
      </c>
      <c r="CF152" s="6">
        <f t="shared" si="837"/>
        <v>0.37037037037037035</v>
      </c>
      <c r="CG152" s="3">
        <f t="shared" si="1081"/>
        <v>600</v>
      </c>
      <c r="CH152" s="3">
        <f t="shared" si="1081"/>
        <v>600</v>
      </c>
      <c r="CI152" s="3">
        <f t="shared" si="1081"/>
        <v>600</v>
      </c>
      <c r="CJ152" s="3">
        <f t="shared" si="1081"/>
        <v>600</v>
      </c>
      <c r="CK152" s="3">
        <f t="shared" si="1081"/>
        <v>600</v>
      </c>
      <c r="CL152" s="3">
        <f t="shared" si="1081"/>
        <v>600</v>
      </c>
      <c r="CM152" s="3">
        <f t="shared" si="1081"/>
        <v>600</v>
      </c>
      <c r="CN152" s="3">
        <f t="shared" si="1081"/>
        <v>600</v>
      </c>
      <c r="CO152" s="3">
        <f t="shared" si="1081"/>
        <v>600</v>
      </c>
      <c r="CP152" s="3">
        <f t="shared" si="929"/>
        <v>600</v>
      </c>
      <c r="CQ152" s="3">
        <f t="shared" si="995"/>
        <v>600</v>
      </c>
      <c r="CR152" s="3">
        <f t="shared" si="1033"/>
        <v>600</v>
      </c>
      <c r="CS152" s="3">
        <f t="shared" si="1055"/>
        <v>600</v>
      </c>
      <c r="CT152" s="3">
        <f t="shared" si="1089"/>
        <v>600</v>
      </c>
      <c r="CU152" s="3">
        <f t="shared" si="1090"/>
        <v>0.11667843062533659</v>
      </c>
      <c r="CV152" s="3">
        <f t="shared" si="1091"/>
        <v>0.11667843062533659</v>
      </c>
      <c r="CW152" s="3">
        <f t="shared" si="1092"/>
        <v>0.11667843062533659</v>
      </c>
      <c r="CX152" s="3">
        <f t="shared" si="1093"/>
        <v>650</v>
      </c>
      <c r="CY152" s="3">
        <f t="shared" si="1061"/>
        <v>650</v>
      </c>
      <c r="CZ152" s="3">
        <f t="shared" si="1041"/>
        <v>650</v>
      </c>
      <c r="DA152" s="3">
        <f t="shared" si="1005"/>
        <v>650</v>
      </c>
      <c r="DB152" s="3">
        <f t="shared" si="941"/>
        <v>650</v>
      </c>
      <c r="DC152" s="3">
        <f t="shared" si="1082"/>
        <v>650</v>
      </c>
      <c r="DD152" s="3">
        <f t="shared" si="1082"/>
        <v>650</v>
      </c>
      <c r="DE152" s="3">
        <f t="shared" si="1082"/>
        <v>650</v>
      </c>
      <c r="DF152" s="3">
        <f t="shared" si="1082"/>
        <v>650</v>
      </c>
      <c r="DG152" s="3">
        <f t="shared" si="1082"/>
        <v>650</v>
      </c>
      <c r="DH152" s="3">
        <f t="shared" si="1082"/>
        <v>650</v>
      </c>
      <c r="DI152" s="3">
        <f t="shared" si="1082"/>
        <v>650</v>
      </c>
      <c r="DJ152" s="3">
        <f t="shared" si="1082"/>
        <v>650</v>
      </c>
      <c r="DK152" s="3">
        <f t="shared" si="1082"/>
        <v>650</v>
      </c>
      <c r="DL152" s="5">
        <v>41</v>
      </c>
      <c r="DM152" s="6">
        <f t="shared" si="840"/>
        <v>0.37037037037037035</v>
      </c>
      <c r="DQ152" s="94"/>
      <c r="DR152" s="95"/>
      <c r="DS152" s="5">
        <v>41</v>
      </c>
      <c r="DT152" s="6">
        <f t="shared" si="841"/>
        <v>0.37037037037037035</v>
      </c>
      <c r="DU152" s="3">
        <f t="shared" si="1083"/>
        <v>600</v>
      </c>
      <c r="DV152" s="3">
        <f t="shared" si="1083"/>
        <v>600</v>
      </c>
      <c r="DW152" s="3">
        <f t="shared" si="1083"/>
        <v>600</v>
      </c>
      <c r="DX152" s="3">
        <f t="shared" si="1083"/>
        <v>600</v>
      </c>
      <c r="DY152" s="3">
        <f t="shared" si="1083"/>
        <v>600</v>
      </c>
      <c r="DZ152" s="3">
        <f t="shared" si="1083"/>
        <v>600</v>
      </c>
      <c r="EA152" s="3">
        <f t="shared" si="1083"/>
        <v>600</v>
      </c>
      <c r="EB152" s="3">
        <f t="shared" si="1083"/>
        <v>600</v>
      </c>
      <c r="EC152" s="3">
        <f t="shared" si="1083"/>
        <v>600</v>
      </c>
      <c r="ED152" s="3">
        <f t="shared" si="942"/>
        <v>600</v>
      </c>
      <c r="EE152" s="3">
        <f t="shared" si="1006"/>
        <v>600</v>
      </c>
      <c r="EF152" s="3">
        <f t="shared" si="1042"/>
        <v>600</v>
      </c>
      <c r="EG152" s="3">
        <f t="shared" si="1062"/>
        <v>600</v>
      </c>
      <c r="EH152" s="3">
        <f t="shared" si="1094"/>
        <v>600</v>
      </c>
      <c r="EI152" s="3">
        <f t="shared" si="1095"/>
        <v>542.95947754944211</v>
      </c>
      <c r="EJ152" s="3">
        <f t="shared" si="1096"/>
        <v>543.57398485251395</v>
      </c>
      <c r="EK152" s="3">
        <f t="shared" si="1097"/>
        <v>544.97980419161058</v>
      </c>
      <c r="EL152" s="3">
        <f t="shared" si="1098"/>
        <v>650</v>
      </c>
      <c r="EM152" s="3">
        <f t="shared" si="1068"/>
        <v>650</v>
      </c>
      <c r="EN152" s="3">
        <f t="shared" si="1050"/>
        <v>650</v>
      </c>
      <c r="EO152" s="3">
        <f t="shared" si="1016"/>
        <v>650</v>
      </c>
      <c r="EP152" s="3">
        <f t="shared" si="954"/>
        <v>650</v>
      </c>
      <c r="EQ152" s="3">
        <f t="shared" si="1084"/>
        <v>650</v>
      </c>
      <c r="ER152" s="3">
        <f t="shared" si="1084"/>
        <v>650</v>
      </c>
      <c r="ES152" s="3">
        <f t="shared" si="1084"/>
        <v>650</v>
      </c>
      <c r="ET152" s="3">
        <f t="shared" si="1084"/>
        <v>650</v>
      </c>
      <c r="EU152" s="3">
        <f t="shared" si="1084"/>
        <v>650</v>
      </c>
      <c r="EV152" s="3">
        <f t="shared" si="1084"/>
        <v>650</v>
      </c>
      <c r="EW152" s="3">
        <f t="shared" si="1084"/>
        <v>650</v>
      </c>
      <c r="EX152" s="3">
        <f t="shared" si="1084"/>
        <v>650</v>
      </c>
      <c r="EY152" s="3">
        <f t="shared" si="1084"/>
        <v>650</v>
      </c>
      <c r="EZ152" s="5">
        <v>41</v>
      </c>
      <c r="FA152" s="6">
        <f t="shared" si="845"/>
        <v>0.37037037037037035</v>
      </c>
    </row>
    <row r="153" spans="3:157" x14ac:dyDescent="0.3">
      <c r="C153" s="94"/>
      <c r="D153" s="95"/>
      <c r="E153" s="5">
        <v>40</v>
      </c>
      <c r="F153" s="6">
        <f t="shared" si="816"/>
        <v>0.3611111111111111</v>
      </c>
      <c r="G153" s="3">
        <f t="shared" si="1069"/>
        <v>600</v>
      </c>
      <c r="H153" s="3">
        <f t="shared" si="1069"/>
        <v>600</v>
      </c>
      <c r="I153" s="3">
        <f t="shared" si="1069"/>
        <v>600</v>
      </c>
      <c r="J153" s="3">
        <f t="shared" si="1069"/>
        <v>600</v>
      </c>
      <c r="K153" s="3">
        <f t="shared" si="1069"/>
        <v>600</v>
      </c>
      <c r="L153" s="3">
        <f t="shared" si="1069"/>
        <v>600</v>
      </c>
      <c r="M153" s="3">
        <f t="shared" si="1069"/>
        <v>600</v>
      </c>
      <c r="N153" s="3">
        <f t="shared" si="1069"/>
        <v>600</v>
      </c>
      <c r="O153" s="3">
        <f t="shared" si="1069"/>
        <v>600</v>
      </c>
      <c r="P153" s="3">
        <f t="shared" si="914"/>
        <v>600</v>
      </c>
      <c r="Q153" s="3">
        <f t="shared" si="975"/>
        <v>600</v>
      </c>
      <c r="R153" s="3">
        <f t="shared" si="1017"/>
        <v>600</v>
      </c>
      <c r="S153" s="3">
        <f t="shared" si="1051"/>
        <v>600</v>
      </c>
      <c r="T153" s="3">
        <f t="shared" si="1085"/>
        <v>600</v>
      </c>
      <c r="U153" s="3">
        <f t="shared" si="1071"/>
        <v>612.93274788415135</v>
      </c>
      <c r="V153" s="3">
        <f t="shared" si="1072"/>
        <v>613.59036418796734</v>
      </c>
      <c r="W153" s="3">
        <f t="shared" si="1073"/>
        <v>615.19570065716641</v>
      </c>
      <c r="X153" s="3">
        <f t="shared" si="1086"/>
        <v>650</v>
      </c>
      <c r="Y153" s="3">
        <f t="shared" si="1052"/>
        <v>650</v>
      </c>
      <c r="Z153" s="3">
        <f t="shared" si="1025"/>
        <v>650</v>
      </c>
      <c r="AA153" s="3">
        <f t="shared" si="985"/>
        <v>650</v>
      </c>
      <c r="AB153" s="3">
        <f t="shared" si="915"/>
        <v>650</v>
      </c>
      <c r="AC153" s="3">
        <f t="shared" si="1075"/>
        <v>650</v>
      </c>
      <c r="AD153" s="3">
        <f t="shared" si="1075"/>
        <v>650</v>
      </c>
      <c r="AE153" s="3">
        <f t="shared" si="1075"/>
        <v>650</v>
      </c>
      <c r="AF153" s="3">
        <f t="shared" si="1075"/>
        <v>650</v>
      </c>
      <c r="AG153" s="3">
        <f t="shared" si="1075"/>
        <v>650</v>
      </c>
      <c r="AH153" s="3">
        <f t="shared" si="1075"/>
        <v>650</v>
      </c>
      <c r="AI153" s="3">
        <f t="shared" si="1075"/>
        <v>650</v>
      </c>
      <c r="AJ153" s="3">
        <f t="shared" si="1075"/>
        <v>650</v>
      </c>
      <c r="AK153" s="3">
        <f t="shared" si="1075"/>
        <v>650</v>
      </c>
      <c r="AL153" s="5">
        <v>40</v>
      </c>
      <c r="AM153" s="6">
        <f t="shared" si="820"/>
        <v>0.3611111111111111</v>
      </c>
      <c r="AP153" s="102"/>
      <c r="AQ153" s="101"/>
      <c r="AR153" s="5">
        <v>40</v>
      </c>
      <c r="AS153" s="6">
        <f t="shared" si="821"/>
        <v>0.3611111111111111</v>
      </c>
      <c r="AT153" s="3">
        <f t="shared" si="1076"/>
        <v>600</v>
      </c>
      <c r="AU153" s="3">
        <f t="shared" si="1076"/>
        <v>600</v>
      </c>
      <c r="AV153" s="3">
        <f t="shared" si="1076"/>
        <v>600</v>
      </c>
      <c r="AW153" s="3">
        <f t="shared" si="1076"/>
        <v>600</v>
      </c>
      <c r="AX153" s="3">
        <f t="shared" si="1076"/>
        <v>600</v>
      </c>
      <c r="AY153" s="3">
        <f t="shared" si="1076"/>
        <v>600</v>
      </c>
      <c r="AZ153" s="3">
        <f t="shared" si="1076"/>
        <v>600</v>
      </c>
      <c r="BA153" s="3">
        <f t="shared" si="1076"/>
        <v>600</v>
      </c>
      <c r="BB153" s="3">
        <f t="shared" si="1076"/>
        <v>600</v>
      </c>
      <c r="BC153" s="3">
        <f t="shared" si="916"/>
        <v>600</v>
      </c>
      <c r="BD153" s="3">
        <f t="shared" si="986"/>
        <v>600</v>
      </c>
      <c r="BE153" s="3">
        <f t="shared" si="1026"/>
        <v>600</v>
      </c>
      <c r="BF153" s="3">
        <f t="shared" si="1053"/>
        <v>600</v>
      </c>
      <c r="BG153" s="3">
        <f t="shared" si="1087"/>
        <v>600</v>
      </c>
      <c r="BH153" s="3">
        <f t="shared" si="1077"/>
        <v>-2198890274.1753831</v>
      </c>
      <c r="BI153" s="3">
        <f t="shared" si="1078"/>
        <v>-2201242985.2619157</v>
      </c>
      <c r="BJ153" s="3">
        <f t="shared" si="1079"/>
        <v>-2207005416.8722634</v>
      </c>
      <c r="BK153" s="3">
        <f t="shared" si="1088"/>
        <v>650</v>
      </c>
      <c r="BL153" s="3">
        <f t="shared" si="1054"/>
        <v>650</v>
      </c>
      <c r="BM153" s="3">
        <f t="shared" si="1032"/>
        <v>650</v>
      </c>
      <c r="BN153" s="3">
        <f t="shared" si="994"/>
        <v>650</v>
      </c>
      <c r="BO153" s="3">
        <f t="shared" si="928"/>
        <v>650</v>
      </c>
      <c r="BP153" s="3">
        <f t="shared" si="1080"/>
        <v>650</v>
      </c>
      <c r="BQ153" s="3">
        <f t="shared" si="1080"/>
        <v>650</v>
      </c>
      <c r="BR153" s="3">
        <f t="shared" si="1080"/>
        <v>650</v>
      </c>
      <c r="BS153" s="3">
        <f t="shared" si="1080"/>
        <v>650</v>
      </c>
      <c r="BT153" s="3">
        <f t="shared" si="1080"/>
        <v>650</v>
      </c>
      <c r="BU153" s="3">
        <f t="shared" si="1080"/>
        <v>650</v>
      </c>
      <c r="BV153" s="3">
        <f t="shared" si="1080"/>
        <v>650</v>
      </c>
      <c r="BW153" s="3">
        <f t="shared" si="1080"/>
        <v>650</v>
      </c>
      <c r="BX153" s="3">
        <f t="shared" si="1080"/>
        <v>650</v>
      </c>
      <c r="BY153" s="5">
        <v>40</v>
      </c>
      <c r="BZ153" s="6">
        <f t="shared" si="836"/>
        <v>0.3611111111111111</v>
      </c>
      <c r="CC153" s="94"/>
      <c r="CD153" s="95"/>
      <c r="CE153" s="5">
        <v>40</v>
      </c>
      <c r="CF153" s="6">
        <f t="shared" si="837"/>
        <v>0.3611111111111111</v>
      </c>
      <c r="CG153" s="3">
        <f t="shared" si="1081"/>
        <v>600</v>
      </c>
      <c r="CH153" s="3">
        <f t="shared" si="1081"/>
        <v>600</v>
      </c>
      <c r="CI153" s="3">
        <f t="shared" si="1081"/>
        <v>600</v>
      </c>
      <c r="CJ153" s="3">
        <f t="shared" si="1081"/>
        <v>600</v>
      </c>
      <c r="CK153" s="3">
        <f t="shared" si="1081"/>
        <v>600</v>
      </c>
      <c r="CL153" s="3">
        <f t="shared" si="1081"/>
        <v>600</v>
      </c>
      <c r="CM153" s="3">
        <f t="shared" si="1081"/>
        <v>600</v>
      </c>
      <c r="CN153" s="3">
        <f t="shared" si="1081"/>
        <v>600</v>
      </c>
      <c r="CO153" s="3">
        <f t="shared" si="1081"/>
        <v>600</v>
      </c>
      <c r="CP153" s="3">
        <f t="shared" si="929"/>
        <v>600</v>
      </c>
      <c r="CQ153" s="3">
        <f t="shared" si="995"/>
        <v>600</v>
      </c>
      <c r="CR153" s="3">
        <f t="shared" si="1033"/>
        <v>600</v>
      </c>
      <c r="CS153" s="3">
        <f t="shared" si="1055"/>
        <v>600</v>
      </c>
      <c r="CT153" s="3">
        <f t="shared" si="1089"/>
        <v>600</v>
      </c>
      <c r="CU153" s="3">
        <f t="shared" si="1090"/>
        <v>0.11667843062533659</v>
      </c>
      <c r="CV153" s="3">
        <f t="shared" si="1091"/>
        <v>0.11667843062533659</v>
      </c>
      <c r="CW153" s="3">
        <f t="shared" si="1092"/>
        <v>0.11667843062533659</v>
      </c>
      <c r="CX153" s="3">
        <f t="shared" si="1093"/>
        <v>650</v>
      </c>
      <c r="CY153" s="3">
        <f t="shared" si="1061"/>
        <v>650</v>
      </c>
      <c r="CZ153" s="3">
        <f t="shared" si="1041"/>
        <v>650</v>
      </c>
      <c r="DA153" s="3">
        <f t="shared" si="1005"/>
        <v>650</v>
      </c>
      <c r="DB153" s="3">
        <f t="shared" si="941"/>
        <v>650</v>
      </c>
      <c r="DC153" s="3">
        <f t="shared" si="1082"/>
        <v>650</v>
      </c>
      <c r="DD153" s="3">
        <f t="shared" si="1082"/>
        <v>650</v>
      </c>
      <c r="DE153" s="3">
        <f t="shared" si="1082"/>
        <v>650</v>
      </c>
      <c r="DF153" s="3">
        <f t="shared" si="1082"/>
        <v>650</v>
      </c>
      <c r="DG153" s="3">
        <f t="shared" si="1082"/>
        <v>650</v>
      </c>
      <c r="DH153" s="3">
        <f t="shared" si="1082"/>
        <v>650</v>
      </c>
      <c r="DI153" s="3">
        <f t="shared" si="1082"/>
        <v>650</v>
      </c>
      <c r="DJ153" s="3">
        <f t="shared" si="1082"/>
        <v>650</v>
      </c>
      <c r="DK153" s="3">
        <f t="shared" si="1082"/>
        <v>650</v>
      </c>
      <c r="DL153" s="5">
        <v>40</v>
      </c>
      <c r="DM153" s="6">
        <f t="shared" si="840"/>
        <v>0.3611111111111111</v>
      </c>
      <c r="DQ153" s="94"/>
      <c r="DR153" s="95"/>
      <c r="DS153" s="5">
        <v>40</v>
      </c>
      <c r="DT153" s="6">
        <f t="shared" si="841"/>
        <v>0.3611111111111111</v>
      </c>
      <c r="DU153" s="3">
        <f t="shared" si="1083"/>
        <v>600</v>
      </c>
      <c r="DV153" s="3">
        <f t="shared" si="1083"/>
        <v>600</v>
      </c>
      <c r="DW153" s="3">
        <f t="shared" si="1083"/>
        <v>600</v>
      </c>
      <c r="DX153" s="3">
        <f t="shared" si="1083"/>
        <v>600</v>
      </c>
      <c r="DY153" s="3">
        <f t="shared" si="1083"/>
        <v>600</v>
      </c>
      <c r="DZ153" s="3">
        <f t="shared" si="1083"/>
        <v>600</v>
      </c>
      <c r="EA153" s="3">
        <f t="shared" si="1083"/>
        <v>600</v>
      </c>
      <c r="EB153" s="3">
        <f t="shared" si="1083"/>
        <v>600</v>
      </c>
      <c r="EC153" s="3">
        <f t="shared" si="1083"/>
        <v>600</v>
      </c>
      <c r="ED153" s="3">
        <f t="shared" si="942"/>
        <v>600</v>
      </c>
      <c r="EE153" s="3">
        <f t="shared" si="1006"/>
        <v>600</v>
      </c>
      <c r="EF153" s="3">
        <f t="shared" si="1042"/>
        <v>600</v>
      </c>
      <c r="EG153" s="3">
        <f t="shared" si="1062"/>
        <v>600</v>
      </c>
      <c r="EH153" s="3">
        <f t="shared" si="1094"/>
        <v>600</v>
      </c>
      <c r="EI153" s="3">
        <f t="shared" si="1095"/>
        <v>541.52878278056608</v>
      </c>
      <c r="EJ153" s="3">
        <f t="shared" si="1096"/>
        <v>542.11210997598266</v>
      </c>
      <c r="EK153" s="3">
        <f t="shared" si="1097"/>
        <v>543.52925403546669</v>
      </c>
      <c r="EL153" s="3">
        <f t="shared" si="1098"/>
        <v>650</v>
      </c>
      <c r="EM153" s="3">
        <f t="shared" si="1068"/>
        <v>650</v>
      </c>
      <c r="EN153" s="3">
        <f t="shared" si="1050"/>
        <v>650</v>
      </c>
      <c r="EO153" s="3">
        <f t="shared" si="1016"/>
        <v>650</v>
      </c>
      <c r="EP153" s="3">
        <f t="shared" si="954"/>
        <v>650</v>
      </c>
      <c r="EQ153" s="3">
        <f t="shared" si="1084"/>
        <v>650</v>
      </c>
      <c r="ER153" s="3">
        <f t="shared" si="1084"/>
        <v>650</v>
      </c>
      <c r="ES153" s="3">
        <f t="shared" si="1084"/>
        <v>650</v>
      </c>
      <c r="ET153" s="3">
        <f t="shared" si="1084"/>
        <v>650</v>
      </c>
      <c r="EU153" s="3">
        <f t="shared" si="1084"/>
        <v>650</v>
      </c>
      <c r="EV153" s="3">
        <f t="shared" si="1084"/>
        <v>650</v>
      </c>
      <c r="EW153" s="3">
        <f t="shared" si="1084"/>
        <v>650</v>
      </c>
      <c r="EX153" s="3">
        <f t="shared" si="1084"/>
        <v>650</v>
      </c>
      <c r="EY153" s="3">
        <f t="shared" si="1084"/>
        <v>650</v>
      </c>
      <c r="EZ153" s="5">
        <v>40</v>
      </c>
      <c r="FA153" s="6">
        <f t="shared" si="845"/>
        <v>0.3611111111111111</v>
      </c>
    </row>
    <row r="154" spans="3:157" x14ac:dyDescent="0.3">
      <c r="C154" s="94"/>
      <c r="D154" s="95"/>
      <c r="E154" s="5">
        <v>39</v>
      </c>
      <c r="F154" s="6">
        <f t="shared" si="816"/>
        <v>0.35185185185185186</v>
      </c>
      <c r="G154" s="3">
        <f t="shared" si="1069"/>
        <v>600</v>
      </c>
      <c r="H154" s="3">
        <f t="shared" si="1069"/>
        <v>600</v>
      </c>
      <c r="I154" s="3">
        <f t="shared" si="1069"/>
        <v>600</v>
      </c>
      <c r="J154" s="3">
        <f t="shared" si="1069"/>
        <v>600</v>
      </c>
      <c r="K154" s="3">
        <f t="shared" si="1069"/>
        <v>600</v>
      </c>
      <c r="L154" s="3">
        <f t="shared" si="1069"/>
        <v>600</v>
      </c>
      <c r="M154" s="3">
        <f t="shared" si="1069"/>
        <v>600</v>
      </c>
      <c r="N154" s="3">
        <f t="shared" si="1069"/>
        <v>600</v>
      </c>
      <c r="O154" s="3">
        <f t="shared" si="1069"/>
        <v>600</v>
      </c>
      <c r="P154" s="3">
        <f t="shared" si="914"/>
        <v>600</v>
      </c>
      <c r="Q154" s="3">
        <f t="shared" si="975"/>
        <v>600</v>
      </c>
      <c r="R154" s="3">
        <f t="shared" si="1017"/>
        <v>600</v>
      </c>
      <c r="S154" s="3">
        <f t="shared" si="1051"/>
        <v>600</v>
      </c>
      <c r="T154" s="3">
        <f t="shared" si="1085"/>
        <v>600</v>
      </c>
      <c r="U154" s="3">
        <f t="shared" si="1071"/>
        <v>611.97227903132216</v>
      </c>
      <c r="V154" s="3">
        <f t="shared" si="1072"/>
        <v>612.60897861668082</v>
      </c>
      <c r="W154" s="3">
        <f t="shared" si="1073"/>
        <v>614.22189377766131</v>
      </c>
      <c r="X154" s="3">
        <f t="shared" si="1086"/>
        <v>650</v>
      </c>
      <c r="Y154" s="3">
        <f t="shared" si="1052"/>
        <v>650</v>
      </c>
      <c r="Z154" s="3">
        <f t="shared" si="1025"/>
        <v>650</v>
      </c>
      <c r="AA154" s="3">
        <f t="shared" si="985"/>
        <v>650</v>
      </c>
      <c r="AB154" s="3">
        <f t="shared" si="915"/>
        <v>650</v>
      </c>
      <c r="AC154" s="3">
        <f t="shared" si="1075"/>
        <v>650</v>
      </c>
      <c r="AD154" s="3">
        <f t="shared" si="1075"/>
        <v>650</v>
      </c>
      <c r="AE154" s="3">
        <f t="shared" si="1075"/>
        <v>650</v>
      </c>
      <c r="AF154" s="3">
        <f t="shared" si="1075"/>
        <v>650</v>
      </c>
      <c r="AG154" s="3">
        <f t="shared" si="1075"/>
        <v>650</v>
      </c>
      <c r="AH154" s="3">
        <f t="shared" si="1075"/>
        <v>650</v>
      </c>
      <c r="AI154" s="3">
        <f t="shared" si="1075"/>
        <v>650</v>
      </c>
      <c r="AJ154" s="3">
        <f t="shared" si="1075"/>
        <v>650</v>
      </c>
      <c r="AK154" s="3">
        <f t="shared" si="1075"/>
        <v>650</v>
      </c>
      <c r="AL154" s="5">
        <v>39</v>
      </c>
      <c r="AM154" s="6">
        <f t="shared" si="820"/>
        <v>0.35185185185185186</v>
      </c>
      <c r="AP154" s="102"/>
      <c r="AQ154" s="101"/>
      <c r="AR154" s="5">
        <v>39</v>
      </c>
      <c r="AS154" s="6">
        <f t="shared" si="821"/>
        <v>0.35185185185185186</v>
      </c>
      <c r="AT154" s="3">
        <f t="shared" si="1076"/>
        <v>600</v>
      </c>
      <c r="AU154" s="3">
        <f t="shared" si="1076"/>
        <v>600</v>
      </c>
      <c r="AV154" s="3">
        <f t="shared" si="1076"/>
        <v>600</v>
      </c>
      <c r="AW154" s="3">
        <f t="shared" si="1076"/>
        <v>600</v>
      </c>
      <c r="AX154" s="3">
        <f t="shared" si="1076"/>
        <v>600</v>
      </c>
      <c r="AY154" s="3">
        <f t="shared" si="1076"/>
        <v>600</v>
      </c>
      <c r="AZ154" s="3">
        <f t="shared" si="1076"/>
        <v>600</v>
      </c>
      <c r="BA154" s="3">
        <f t="shared" si="1076"/>
        <v>600</v>
      </c>
      <c r="BB154" s="3">
        <f t="shared" si="1076"/>
        <v>600</v>
      </c>
      <c r="BC154" s="3">
        <f t="shared" si="916"/>
        <v>600</v>
      </c>
      <c r="BD154" s="3">
        <f t="shared" si="986"/>
        <v>600</v>
      </c>
      <c r="BE154" s="3">
        <f t="shared" si="1026"/>
        <v>600</v>
      </c>
      <c r="BF154" s="3">
        <f t="shared" si="1053"/>
        <v>600</v>
      </c>
      <c r="BG154" s="3">
        <f t="shared" si="1087"/>
        <v>600</v>
      </c>
      <c r="BH154" s="3">
        <f t="shared" si="1077"/>
        <v>-2195562018.3054147</v>
      </c>
      <c r="BI154" s="3">
        <f t="shared" si="1078"/>
        <v>-2197842259.3653226</v>
      </c>
      <c r="BJ154" s="3">
        <f t="shared" si="1079"/>
        <v>-2203630935.2263231</v>
      </c>
      <c r="BK154" s="3">
        <f t="shared" si="1088"/>
        <v>650</v>
      </c>
      <c r="BL154" s="3">
        <f t="shared" si="1054"/>
        <v>650</v>
      </c>
      <c r="BM154" s="3">
        <f t="shared" si="1032"/>
        <v>650</v>
      </c>
      <c r="BN154" s="3">
        <f t="shared" si="994"/>
        <v>650</v>
      </c>
      <c r="BO154" s="3">
        <f t="shared" si="928"/>
        <v>650</v>
      </c>
      <c r="BP154" s="3">
        <f t="shared" si="1080"/>
        <v>650</v>
      </c>
      <c r="BQ154" s="3">
        <f t="shared" si="1080"/>
        <v>650</v>
      </c>
      <c r="BR154" s="3">
        <f t="shared" si="1080"/>
        <v>650</v>
      </c>
      <c r="BS154" s="3">
        <f t="shared" si="1080"/>
        <v>650</v>
      </c>
      <c r="BT154" s="3">
        <f t="shared" si="1080"/>
        <v>650</v>
      </c>
      <c r="BU154" s="3">
        <f t="shared" si="1080"/>
        <v>650</v>
      </c>
      <c r="BV154" s="3">
        <f t="shared" si="1080"/>
        <v>650</v>
      </c>
      <c r="BW154" s="3">
        <f t="shared" si="1080"/>
        <v>650</v>
      </c>
      <c r="BX154" s="3">
        <f t="shared" si="1080"/>
        <v>650</v>
      </c>
      <c r="BY154" s="5">
        <v>39</v>
      </c>
      <c r="BZ154" s="6">
        <f t="shared" si="836"/>
        <v>0.35185185185185186</v>
      </c>
      <c r="CC154" s="94"/>
      <c r="CD154" s="95"/>
      <c r="CE154" s="5">
        <v>39</v>
      </c>
      <c r="CF154" s="6">
        <f t="shared" si="837"/>
        <v>0.35185185185185186</v>
      </c>
      <c r="CG154" s="3">
        <f t="shared" si="1081"/>
        <v>600</v>
      </c>
      <c r="CH154" s="3">
        <f t="shared" si="1081"/>
        <v>600</v>
      </c>
      <c r="CI154" s="3">
        <f t="shared" si="1081"/>
        <v>600</v>
      </c>
      <c r="CJ154" s="3">
        <f t="shared" si="1081"/>
        <v>600</v>
      </c>
      <c r="CK154" s="3">
        <f t="shared" si="1081"/>
        <v>600</v>
      </c>
      <c r="CL154" s="3">
        <f t="shared" si="1081"/>
        <v>600</v>
      </c>
      <c r="CM154" s="3">
        <f t="shared" si="1081"/>
        <v>600</v>
      </c>
      <c r="CN154" s="3">
        <f t="shared" si="1081"/>
        <v>600</v>
      </c>
      <c r="CO154" s="3">
        <f t="shared" si="1081"/>
        <v>600</v>
      </c>
      <c r="CP154" s="3">
        <f t="shared" si="929"/>
        <v>600</v>
      </c>
      <c r="CQ154" s="3">
        <f t="shared" si="995"/>
        <v>600</v>
      </c>
      <c r="CR154" s="3">
        <f t="shared" si="1033"/>
        <v>600</v>
      </c>
      <c r="CS154" s="3">
        <f t="shared" si="1055"/>
        <v>600</v>
      </c>
      <c r="CT154" s="3">
        <f t="shared" si="1089"/>
        <v>600</v>
      </c>
      <c r="CU154" s="3">
        <f t="shared" si="1090"/>
        <v>0.11667843062533659</v>
      </c>
      <c r="CV154" s="3">
        <f t="shared" si="1091"/>
        <v>0.11667843062533659</v>
      </c>
      <c r="CW154" s="3">
        <f t="shared" si="1092"/>
        <v>0.11667843062533659</v>
      </c>
      <c r="CX154" s="3">
        <f t="shared" si="1093"/>
        <v>650</v>
      </c>
      <c r="CY154" s="3">
        <f t="shared" si="1061"/>
        <v>650</v>
      </c>
      <c r="CZ154" s="3">
        <f t="shared" si="1041"/>
        <v>650</v>
      </c>
      <c r="DA154" s="3">
        <f t="shared" si="1005"/>
        <v>650</v>
      </c>
      <c r="DB154" s="3">
        <f t="shared" si="941"/>
        <v>650</v>
      </c>
      <c r="DC154" s="3">
        <f t="shared" si="1082"/>
        <v>650</v>
      </c>
      <c r="DD154" s="3">
        <f t="shared" si="1082"/>
        <v>650</v>
      </c>
      <c r="DE154" s="3">
        <f t="shared" si="1082"/>
        <v>650</v>
      </c>
      <c r="DF154" s="3">
        <f t="shared" si="1082"/>
        <v>650</v>
      </c>
      <c r="DG154" s="3">
        <f t="shared" si="1082"/>
        <v>650</v>
      </c>
      <c r="DH154" s="3">
        <f t="shared" si="1082"/>
        <v>650</v>
      </c>
      <c r="DI154" s="3">
        <f t="shared" si="1082"/>
        <v>650</v>
      </c>
      <c r="DJ154" s="3">
        <f t="shared" si="1082"/>
        <v>650</v>
      </c>
      <c r="DK154" s="3">
        <f t="shared" si="1082"/>
        <v>650</v>
      </c>
      <c r="DL154" s="5">
        <v>39</v>
      </c>
      <c r="DM154" s="6">
        <f t="shared" si="840"/>
        <v>0.35185185185185186</v>
      </c>
      <c r="DQ154" s="94"/>
      <c r="DR154" s="95"/>
      <c r="DS154" s="5">
        <v>39</v>
      </c>
      <c r="DT154" s="6">
        <f t="shared" si="841"/>
        <v>0.35185185185185186</v>
      </c>
      <c r="DU154" s="3">
        <f t="shared" si="1083"/>
        <v>600</v>
      </c>
      <c r="DV154" s="3">
        <f t="shared" si="1083"/>
        <v>600</v>
      </c>
      <c r="DW154" s="3">
        <f t="shared" si="1083"/>
        <v>600</v>
      </c>
      <c r="DX154" s="3">
        <f t="shared" si="1083"/>
        <v>600</v>
      </c>
      <c r="DY154" s="3">
        <f t="shared" si="1083"/>
        <v>600</v>
      </c>
      <c r="DZ154" s="3">
        <f t="shared" si="1083"/>
        <v>600</v>
      </c>
      <c r="EA154" s="3">
        <f t="shared" si="1083"/>
        <v>600</v>
      </c>
      <c r="EB154" s="3">
        <f t="shared" si="1083"/>
        <v>600</v>
      </c>
      <c r="EC154" s="3">
        <f t="shared" si="1083"/>
        <v>600</v>
      </c>
      <c r="ED154" s="3">
        <f t="shared" si="942"/>
        <v>600</v>
      </c>
      <c r="EE154" s="3">
        <f t="shared" si="1006"/>
        <v>600</v>
      </c>
      <c r="EF154" s="3">
        <f t="shared" si="1042"/>
        <v>600</v>
      </c>
      <c r="EG154" s="3">
        <f t="shared" si="1062"/>
        <v>600</v>
      </c>
      <c r="EH154" s="3">
        <f t="shared" si="1094"/>
        <v>600</v>
      </c>
      <c r="EI154" s="3">
        <f t="shared" si="1095"/>
        <v>540.6380792850249</v>
      </c>
      <c r="EJ154" s="3">
        <f t="shared" si="1096"/>
        <v>541.20200889004457</v>
      </c>
      <c r="EK154" s="3">
        <f t="shared" si="1097"/>
        <v>542.62618145178851</v>
      </c>
      <c r="EL154" s="3">
        <f t="shared" si="1098"/>
        <v>650</v>
      </c>
      <c r="EM154" s="3">
        <f t="shared" si="1068"/>
        <v>650</v>
      </c>
      <c r="EN154" s="3">
        <f t="shared" si="1050"/>
        <v>650</v>
      </c>
      <c r="EO154" s="3">
        <f t="shared" si="1016"/>
        <v>650</v>
      </c>
      <c r="EP154" s="3">
        <f t="shared" si="954"/>
        <v>650</v>
      </c>
      <c r="EQ154" s="3">
        <f t="shared" si="1084"/>
        <v>650</v>
      </c>
      <c r="ER154" s="3">
        <f t="shared" si="1084"/>
        <v>650</v>
      </c>
      <c r="ES154" s="3">
        <f t="shared" si="1084"/>
        <v>650</v>
      </c>
      <c r="ET154" s="3">
        <f t="shared" si="1084"/>
        <v>650</v>
      </c>
      <c r="EU154" s="3">
        <f t="shared" si="1084"/>
        <v>650</v>
      </c>
      <c r="EV154" s="3">
        <f t="shared" si="1084"/>
        <v>650</v>
      </c>
      <c r="EW154" s="3">
        <f t="shared" si="1084"/>
        <v>650</v>
      </c>
      <c r="EX154" s="3">
        <f t="shared" si="1084"/>
        <v>650</v>
      </c>
      <c r="EY154" s="3">
        <f t="shared" si="1084"/>
        <v>650</v>
      </c>
      <c r="EZ154" s="5">
        <v>39</v>
      </c>
      <c r="FA154" s="6">
        <f t="shared" si="845"/>
        <v>0.35185185185185186</v>
      </c>
    </row>
    <row r="155" spans="3:157" x14ac:dyDescent="0.3">
      <c r="C155" s="94"/>
      <c r="D155" s="95"/>
      <c r="E155" s="5">
        <v>38</v>
      </c>
      <c r="F155" s="6">
        <f t="shared" si="816"/>
        <v>0.34259259259259256</v>
      </c>
      <c r="G155" s="3">
        <f t="shared" si="1069"/>
        <v>600</v>
      </c>
      <c r="H155" s="3">
        <f t="shared" si="1069"/>
        <v>600</v>
      </c>
      <c r="I155" s="3">
        <f t="shared" si="1069"/>
        <v>600</v>
      </c>
      <c r="J155" s="3">
        <f t="shared" si="1069"/>
        <v>600</v>
      </c>
      <c r="K155" s="3">
        <f t="shared" si="1069"/>
        <v>600</v>
      </c>
      <c r="L155" s="3">
        <f t="shared" si="1069"/>
        <v>600</v>
      </c>
      <c r="M155" s="3">
        <f t="shared" si="1069"/>
        <v>600</v>
      </c>
      <c r="N155" s="3">
        <f t="shared" si="1069"/>
        <v>600</v>
      </c>
      <c r="O155" s="3">
        <f t="shared" si="1069"/>
        <v>600</v>
      </c>
      <c r="P155" s="3">
        <f t="shared" si="914"/>
        <v>600</v>
      </c>
      <c r="Q155" s="3">
        <f t="shared" si="975"/>
        <v>600</v>
      </c>
      <c r="R155" s="3">
        <f t="shared" si="1017"/>
        <v>600</v>
      </c>
      <c r="S155" s="3">
        <f t="shared" si="1051"/>
        <v>600</v>
      </c>
      <c r="T155" s="3">
        <f t="shared" si="1085"/>
        <v>600</v>
      </c>
      <c r="U155" s="3">
        <f t="shared" si="1071"/>
        <v>611.37435054604737</v>
      </c>
      <c r="V155" s="3">
        <f t="shared" si="1072"/>
        <v>611.99803034658123</v>
      </c>
      <c r="W155" s="3">
        <f t="shared" si="1073"/>
        <v>613.61566094227101</v>
      </c>
      <c r="X155" s="3">
        <f t="shared" si="1086"/>
        <v>650</v>
      </c>
      <c r="Y155" s="3">
        <f t="shared" si="1052"/>
        <v>650</v>
      </c>
      <c r="Z155" s="3">
        <f t="shared" si="1025"/>
        <v>650</v>
      </c>
      <c r="AA155" s="3">
        <f t="shared" si="985"/>
        <v>650</v>
      </c>
      <c r="AB155" s="3">
        <f t="shared" si="915"/>
        <v>650</v>
      </c>
      <c r="AC155" s="3">
        <f t="shared" si="1075"/>
        <v>650</v>
      </c>
      <c r="AD155" s="3">
        <f t="shared" si="1075"/>
        <v>650</v>
      </c>
      <c r="AE155" s="3">
        <f t="shared" si="1075"/>
        <v>650</v>
      </c>
      <c r="AF155" s="3">
        <f t="shared" si="1075"/>
        <v>650</v>
      </c>
      <c r="AG155" s="3">
        <f t="shared" si="1075"/>
        <v>650</v>
      </c>
      <c r="AH155" s="3">
        <f t="shared" si="1075"/>
        <v>650</v>
      </c>
      <c r="AI155" s="3">
        <f t="shared" si="1075"/>
        <v>650</v>
      </c>
      <c r="AJ155" s="3">
        <f t="shared" si="1075"/>
        <v>650</v>
      </c>
      <c r="AK155" s="3">
        <f t="shared" si="1075"/>
        <v>650</v>
      </c>
      <c r="AL155" s="5">
        <v>38</v>
      </c>
      <c r="AM155" s="6">
        <f t="shared" si="820"/>
        <v>0.34259259259259256</v>
      </c>
      <c r="AP155" s="102"/>
      <c r="AQ155" s="101"/>
      <c r="AR155" s="5">
        <v>38</v>
      </c>
      <c r="AS155" s="6">
        <f t="shared" si="821"/>
        <v>0.34259259259259256</v>
      </c>
      <c r="AT155" s="3">
        <f t="shared" si="1076"/>
        <v>600</v>
      </c>
      <c r="AU155" s="3">
        <f t="shared" si="1076"/>
        <v>600</v>
      </c>
      <c r="AV155" s="3">
        <f t="shared" si="1076"/>
        <v>600</v>
      </c>
      <c r="AW155" s="3">
        <f t="shared" si="1076"/>
        <v>600</v>
      </c>
      <c r="AX155" s="3">
        <f t="shared" si="1076"/>
        <v>600</v>
      </c>
      <c r="AY155" s="3">
        <f t="shared" si="1076"/>
        <v>600</v>
      </c>
      <c r="AZ155" s="3">
        <f t="shared" si="1076"/>
        <v>600</v>
      </c>
      <c r="BA155" s="3">
        <f t="shared" si="1076"/>
        <v>600</v>
      </c>
      <c r="BB155" s="3">
        <f t="shared" si="1076"/>
        <v>600</v>
      </c>
      <c r="BC155" s="3">
        <f t="shared" si="916"/>
        <v>600</v>
      </c>
      <c r="BD155" s="3">
        <f t="shared" si="986"/>
        <v>600</v>
      </c>
      <c r="BE155" s="3">
        <f t="shared" si="1026"/>
        <v>600</v>
      </c>
      <c r="BF155" s="3">
        <f t="shared" si="1053"/>
        <v>600</v>
      </c>
      <c r="BG155" s="3">
        <f t="shared" si="1087"/>
        <v>600</v>
      </c>
      <c r="BH155" s="3">
        <f t="shared" si="1077"/>
        <v>-2193490058.8407116</v>
      </c>
      <c r="BI155" s="3">
        <f t="shared" si="1078"/>
        <v>-2195725184.6921024</v>
      </c>
      <c r="BJ155" s="3">
        <f t="shared" si="1079"/>
        <v>-2201530198.5468321</v>
      </c>
      <c r="BK155" s="3">
        <f t="shared" si="1088"/>
        <v>650</v>
      </c>
      <c r="BL155" s="3">
        <f t="shared" si="1054"/>
        <v>650</v>
      </c>
      <c r="BM155" s="3">
        <f t="shared" si="1032"/>
        <v>650</v>
      </c>
      <c r="BN155" s="3">
        <f t="shared" si="994"/>
        <v>650</v>
      </c>
      <c r="BO155" s="3">
        <f t="shared" si="928"/>
        <v>650</v>
      </c>
      <c r="BP155" s="3">
        <f t="shared" si="1080"/>
        <v>650</v>
      </c>
      <c r="BQ155" s="3">
        <f t="shared" si="1080"/>
        <v>650</v>
      </c>
      <c r="BR155" s="3">
        <f t="shared" si="1080"/>
        <v>650</v>
      </c>
      <c r="BS155" s="3">
        <f t="shared" si="1080"/>
        <v>650</v>
      </c>
      <c r="BT155" s="3">
        <f t="shared" si="1080"/>
        <v>650</v>
      </c>
      <c r="BU155" s="3">
        <f t="shared" si="1080"/>
        <v>650</v>
      </c>
      <c r="BV155" s="3">
        <f t="shared" si="1080"/>
        <v>650</v>
      </c>
      <c r="BW155" s="3">
        <f t="shared" si="1080"/>
        <v>650</v>
      </c>
      <c r="BX155" s="3">
        <f t="shared" si="1080"/>
        <v>650</v>
      </c>
      <c r="BY155" s="5">
        <v>38</v>
      </c>
      <c r="BZ155" s="6">
        <f t="shared" si="836"/>
        <v>0.34259259259259256</v>
      </c>
      <c r="CC155" s="94"/>
      <c r="CD155" s="95"/>
      <c r="CE155" s="5">
        <v>38</v>
      </c>
      <c r="CF155" s="6">
        <f t="shared" si="837"/>
        <v>0.34259259259259256</v>
      </c>
      <c r="CG155" s="3">
        <f t="shared" si="1081"/>
        <v>600</v>
      </c>
      <c r="CH155" s="3">
        <f t="shared" si="1081"/>
        <v>600</v>
      </c>
      <c r="CI155" s="3">
        <f t="shared" si="1081"/>
        <v>600</v>
      </c>
      <c r="CJ155" s="3">
        <f t="shared" si="1081"/>
        <v>600</v>
      </c>
      <c r="CK155" s="3">
        <f t="shared" si="1081"/>
        <v>600</v>
      </c>
      <c r="CL155" s="3">
        <f t="shared" si="1081"/>
        <v>600</v>
      </c>
      <c r="CM155" s="3">
        <f t="shared" si="1081"/>
        <v>600</v>
      </c>
      <c r="CN155" s="3">
        <f t="shared" si="1081"/>
        <v>600</v>
      </c>
      <c r="CO155" s="3">
        <f t="shared" si="1081"/>
        <v>600</v>
      </c>
      <c r="CP155" s="3">
        <f t="shared" si="929"/>
        <v>600</v>
      </c>
      <c r="CQ155" s="3">
        <f t="shared" si="995"/>
        <v>600</v>
      </c>
      <c r="CR155" s="3">
        <f t="shared" si="1033"/>
        <v>600</v>
      </c>
      <c r="CS155" s="3">
        <f t="shared" si="1055"/>
        <v>600</v>
      </c>
      <c r="CT155" s="3">
        <f t="shared" si="1089"/>
        <v>600</v>
      </c>
      <c r="CU155" s="3">
        <f t="shared" si="1090"/>
        <v>0.11667843062533659</v>
      </c>
      <c r="CV155" s="3">
        <f t="shared" si="1091"/>
        <v>0.11667843062533659</v>
      </c>
      <c r="CW155" s="3">
        <f t="shared" si="1092"/>
        <v>0.11667843062533659</v>
      </c>
      <c r="CX155" s="3">
        <f t="shared" si="1093"/>
        <v>650</v>
      </c>
      <c r="CY155" s="3">
        <f t="shared" si="1061"/>
        <v>650</v>
      </c>
      <c r="CZ155" s="3">
        <f t="shared" si="1041"/>
        <v>650</v>
      </c>
      <c r="DA155" s="3">
        <f t="shared" si="1005"/>
        <v>650</v>
      </c>
      <c r="DB155" s="3">
        <f t="shared" si="941"/>
        <v>650</v>
      </c>
      <c r="DC155" s="3">
        <f t="shared" si="1082"/>
        <v>650</v>
      </c>
      <c r="DD155" s="3">
        <f t="shared" si="1082"/>
        <v>650</v>
      </c>
      <c r="DE155" s="3">
        <f t="shared" si="1082"/>
        <v>650</v>
      </c>
      <c r="DF155" s="3">
        <f t="shared" si="1082"/>
        <v>650</v>
      </c>
      <c r="DG155" s="3">
        <f t="shared" si="1082"/>
        <v>650</v>
      </c>
      <c r="DH155" s="3">
        <f t="shared" si="1082"/>
        <v>650</v>
      </c>
      <c r="DI155" s="3">
        <f t="shared" si="1082"/>
        <v>650</v>
      </c>
      <c r="DJ155" s="3">
        <f t="shared" si="1082"/>
        <v>650</v>
      </c>
      <c r="DK155" s="3">
        <f t="shared" si="1082"/>
        <v>650</v>
      </c>
      <c r="DL155" s="5">
        <v>38</v>
      </c>
      <c r="DM155" s="6">
        <f t="shared" si="840"/>
        <v>0.34259259259259256</v>
      </c>
      <c r="DQ155" s="94"/>
      <c r="DR155" s="95"/>
      <c r="DS155" s="5">
        <v>38</v>
      </c>
      <c r="DT155" s="6">
        <f t="shared" si="841"/>
        <v>0.34259259259259256</v>
      </c>
      <c r="DU155" s="3">
        <f t="shared" si="1083"/>
        <v>600</v>
      </c>
      <c r="DV155" s="3">
        <f t="shared" si="1083"/>
        <v>600</v>
      </c>
      <c r="DW155" s="3">
        <f t="shared" si="1083"/>
        <v>600</v>
      </c>
      <c r="DX155" s="3">
        <f t="shared" si="1083"/>
        <v>600</v>
      </c>
      <c r="DY155" s="3">
        <f t="shared" si="1083"/>
        <v>600</v>
      </c>
      <c r="DZ155" s="3">
        <f t="shared" si="1083"/>
        <v>600</v>
      </c>
      <c r="EA155" s="3">
        <f t="shared" si="1083"/>
        <v>600</v>
      </c>
      <c r="EB155" s="3">
        <f t="shared" si="1083"/>
        <v>600</v>
      </c>
      <c r="EC155" s="3">
        <f t="shared" si="1083"/>
        <v>600</v>
      </c>
      <c r="ED155" s="3">
        <f t="shared" si="942"/>
        <v>600</v>
      </c>
      <c r="EE155" s="3">
        <f t="shared" si="1006"/>
        <v>600</v>
      </c>
      <c r="EF155" s="3">
        <f t="shared" si="1042"/>
        <v>600</v>
      </c>
      <c r="EG155" s="3">
        <f t="shared" si="1062"/>
        <v>600</v>
      </c>
      <c r="EH155" s="3">
        <f t="shared" si="1094"/>
        <v>600</v>
      </c>
      <c r="EI155" s="3">
        <f t="shared" si="1095"/>
        <v>540.08357902177443</v>
      </c>
      <c r="EJ155" s="3">
        <f t="shared" si="1096"/>
        <v>540.63543446093081</v>
      </c>
      <c r="EK155" s="3">
        <f t="shared" si="1097"/>
        <v>542.06398000528418</v>
      </c>
      <c r="EL155" s="3">
        <f t="shared" si="1098"/>
        <v>650</v>
      </c>
      <c r="EM155" s="3">
        <f t="shared" si="1068"/>
        <v>650</v>
      </c>
      <c r="EN155" s="3">
        <f t="shared" si="1050"/>
        <v>650</v>
      </c>
      <c r="EO155" s="3">
        <f t="shared" si="1016"/>
        <v>650</v>
      </c>
      <c r="EP155" s="3">
        <f t="shared" si="954"/>
        <v>650</v>
      </c>
      <c r="EQ155" s="3">
        <f t="shared" si="1084"/>
        <v>650</v>
      </c>
      <c r="ER155" s="3">
        <f t="shared" si="1084"/>
        <v>650</v>
      </c>
      <c r="ES155" s="3">
        <f t="shared" si="1084"/>
        <v>650</v>
      </c>
      <c r="ET155" s="3">
        <f t="shared" si="1084"/>
        <v>650</v>
      </c>
      <c r="EU155" s="3">
        <f t="shared" si="1084"/>
        <v>650</v>
      </c>
      <c r="EV155" s="3">
        <f t="shared" si="1084"/>
        <v>650</v>
      </c>
      <c r="EW155" s="3">
        <f t="shared" si="1084"/>
        <v>650</v>
      </c>
      <c r="EX155" s="3">
        <f t="shared" si="1084"/>
        <v>650</v>
      </c>
      <c r="EY155" s="3">
        <f t="shared" si="1084"/>
        <v>650</v>
      </c>
      <c r="EZ155" s="5">
        <v>38</v>
      </c>
      <c r="FA155" s="6">
        <f t="shared" si="845"/>
        <v>0.34259259259259256</v>
      </c>
    </row>
    <row r="156" spans="3:157" x14ac:dyDescent="0.3">
      <c r="C156" s="94"/>
      <c r="D156" s="95"/>
      <c r="E156" s="5">
        <v>37</v>
      </c>
      <c r="F156" s="6">
        <f t="shared" si="816"/>
        <v>0.33333333333333331</v>
      </c>
      <c r="G156" s="3">
        <f t="shared" si="1069"/>
        <v>600</v>
      </c>
      <c r="H156" s="3">
        <f t="shared" si="1069"/>
        <v>600</v>
      </c>
      <c r="I156" s="3">
        <f t="shared" si="1069"/>
        <v>600</v>
      </c>
      <c r="J156" s="3">
        <f t="shared" si="1069"/>
        <v>600</v>
      </c>
      <c r="K156" s="3">
        <f t="shared" si="1069"/>
        <v>600</v>
      </c>
      <c r="L156" s="3">
        <f t="shared" si="1069"/>
        <v>600</v>
      </c>
      <c r="M156" s="3">
        <f t="shared" si="1069"/>
        <v>600</v>
      </c>
      <c r="N156" s="3">
        <f t="shared" si="1069"/>
        <v>600</v>
      </c>
      <c r="O156" s="3">
        <f t="shared" si="1069"/>
        <v>600</v>
      </c>
      <c r="P156" s="3">
        <f t="shared" si="914"/>
        <v>600</v>
      </c>
      <c r="Q156" s="3">
        <f t="shared" si="975"/>
        <v>600</v>
      </c>
      <c r="R156" s="3">
        <f t="shared" si="1017"/>
        <v>600</v>
      </c>
      <c r="S156" s="3">
        <f t="shared" si="1051"/>
        <v>600</v>
      </c>
      <c r="T156" s="3">
        <f t="shared" si="1085"/>
        <v>600</v>
      </c>
      <c r="U156" s="3">
        <f t="shared" si="1071"/>
        <v>611.00214617381255</v>
      </c>
      <c r="V156" s="3">
        <f t="shared" si="1072"/>
        <v>611.61772148616876</v>
      </c>
      <c r="W156" s="3">
        <f t="shared" si="1073"/>
        <v>613.2382870896231</v>
      </c>
      <c r="X156" s="3">
        <f t="shared" si="1086"/>
        <v>650</v>
      </c>
      <c r="Y156" s="3">
        <f t="shared" si="1052"/>
        <v>650</v>
      </c>
      <c r="Z156" s="3">
        <f t="shared" si="1025"/>
        <v>650</v>
      </c>
      <c r="AA156" s="3">
        <f t="shared" si="985"/>
        <v>650</v>
      </c>
      <c r="AB156" s="3">
        <f t="shared" si="915"/>
        <v>650</v>
      </c>
      <c r="AC156" s="3">
        <f t="shared" si="1075"/>
        <v>650</v>
      </c>
      <c r="AD156" s="3">
        <f t="shared" si="1075"/>
        <v>650</v>
      </c>
      <c r="AE156" s="3">
        <f t="shared" si="1075"/>
        <v>650</v>
      </c>
      <c r="AF156" s="3">
        <f t="shared" si="1075"/>
        <v>650</v>
      </c>
      <c r="AG156" s="3">
        <f t="shared" si="1075"/>
        <v>650</v>
      </c>
      <c r="AH156" s="3">
        <f t="shared" si="1075"/>
        <v>650</v>
      </c>
      <c r="AI156" s="3">
        <f t="shared" si="1075"/>
        <v>650</v>
      </c>
      <c r="AJ156" s="3">
        <f t="shared" si="1075"/>
        <v>650</v>
      </c>
      <c r="AK156" s="3">
        <f t="shared" si="1075"/>
        <v>650</v>
      </c>
      <c r="AL156" s="5">
        <v>37</v>
      </c>
      <c r="AM156" s="6">
        <f t="shared" si="820"/>
        <v>0.33333333333333331</v>
      </c>
      <c r="AP156" s="102"/>
      <c r="AQ156" s="101"/>
      <c r="AR156" s="5">
        <v>37</v>
      </c>
      <c r="AS156" s="6">
        <f t="shared" si="821"/>
        <v>0.33333333333333331</v>
      </c>
      <c r="AT156" s="3">
        <f t="shared" si="1076"/>
        <v>600</v>
      </c>
      <c r="AU156" s="3">
        <f t="shared" si="1076"/>
        <v>600</v>
      </c>
      <c r="AV156" s="3">
        <f t="shared" si="1076"/>
        <v>600</v>
      </c>
      <c r="AW156" s="3">
        <f t="shared" si="1076"/>
        <v>600</v>
      </c>
      <c r="AX156" s="3">
        <f t="shared" si="1076"/>
        <v>600</v>
      </c>
      <c r="AY156" s="3">
        <f t="shared" si="1076"/>
        <v>600</v>
      </c>
      <c r="AZ156" s="3">
        <f t="shared" si="1076"/>
        <v>600</v>
      </c>
      <c r="BA156" s="3">
        <f t="shared" si="1076"/>
        <v>600</v>
      </c>
      <c r="BB156" s="3">
        <f t="shared" si="1076"/>
        <v>600</v>
      </c>
      <c r="BC156" s="3">
        <f t="shared" si="916"/>
        <v>600</v>
      </c>
      <c r="BD156" s="3">
        <f t="shared" si="986"/>
        <v>600</v>
      </c>
      <c r="BE156" s="3">
        <f t="shared" si="1026"/>
        <v>600</v>
      </c>
      <c r="BF156" s="3">
        <f t="shared" si="1053"/>
        <v>600</v>
      </c>
      <c r="BG156" s="3">
        <f t="shared" si="1087"/>
        <v>600</v>
      </c>
      <c r="BH156" s="3">
        <f t="shared" si="1077"/>
        <v>-2192200286.3752456</v>
      </c>
      <c r="BI156" s="3">
        <f t="shared" si="1078"/>
        <v>-2194407328.4949269</v>
      </c>
      <c r="BJ156" s="3">
        <f t="shared" si="1079"/>
        <v>-2200222512.5749016</v>
      </c>
      <c r="BK156" s="3">
        <f t="shared" si="1088"/>
        <v>650</v>
      </c>
      <c r="BL156" s="3">
        <f t="shared" si="1054"/>
        <v>650</v>
      </c>
      <c r="BM156" s="3">
        <f t="shared" si="1032"/>
        <v>650</v>
      </c>
      <c r="BN156" s="3">
        <f t="shared" si="994"/>
        <v>650</v>
      </c>
      <c r="BO156" s="3">
        <f t="shared" si="928"/>
        <v>650</v>
      </c>
      <c r="BP156" s="3">
        <f t="shared" si="1080"/>
        <v>650</v>
      </c>
      <c r="BQ156" s="3">
        <f t="shared" si="1080"/>
        <v>650</v>
      </c>
      <c r="BR156" s="3">
        <f t="shared" si="1080"/>
        <v>650</v>
      </c>
      <c r="BS156" s="3">
        <f t="shared" si="1080"/>
        <v>650</v>
      </c>
      <c r="BT156" s="3">
        <f t="shared" si="1080"/>
        <v>650</v>
      </c>
      <c r="BU156" s="3">
        <f t="shared" si="1080"/>
        <v>650</v>
      </c>
      <c r="BV156" s="3">
        <f t="shared" si="1080"/>
        <v>650</v>
      </c>
      <c r="BW156" s="3">
        <f t="shared" si="1080"/>
        <v>650</v>
      </c>
      <c r="BX156" s="3">
        <f t="shared" si="1080"/>
        <v>650</v>
      </c>
      <c r="BY156" s="5">
        <v>37</v>
      </c>
      <c r="BZ156" s="6">
        <f t="shared" si="836"/>
        <v>0.33333333333333331</v>
      </c>
      <c r="CC156" s="94"/>
      <c r="CD156" s="95"/>
      <c r="CE156" s="5">
        <v>37</v>
      </c>
      <c r="CF156" s="6">
        <f t="shared" si="837"/>
        <v>0.33333333333333331</v>
      </c>
      <c r="CG156" s="3">
        <f t="shared" si="1081"/>
        <v>600</v>
      </c>
      <c r="CH156" s="3">
        <f t="shared" si="1081"/>
        <v>600</v>
      </c>
      <c r="CI156" s="3">
        <f t="shared" si="1081"/>
        <v>600</v>
      </c>
      <c r="CJ156" s="3">
        <f t="shared" si="1081"/>
        <v>600</v>
      </c>
      <c r="CK156" s="3">
        <f t="shared" si="1081"/>
        <v>600</v>
      </c>
      <c r="CL156" s="3">
        <f t="shared" si="1081"/>
        <v>600</v>
      </c>
      <c r="CM156" s="3">
        <f t="shared" si="1081"/>
        <v>600</v>
      </c>
      <c r="CN156" s="3">
        <f t="shared" si="1081"/>
        <v>600</v>
      </c>
      <c r="CO156" s="3">
        <f t="shared" si="1081"/>
        <v>600</v>
      </c>
      <c r="CP156" s="3">
        <f t="shared" si="929"/>
        <v>600</v>
      </c>
      <c r="CQ156" s="3">
        <f t="shared" si="995"/>
        <v>600</v>
      </c>
      <c r="CR156" s="3">
        <f t="shared" si="1033"/>
        <v>600</v>
      </c>
      <c r="CS156" s="3">
        <f t="shared" si="1055"/>
        <v>600</v>
      </c>
      <c r="CT156" s="3">
        <f t="shared" si="1089"/>
        <v>600</v>
      </c>
      <c r="CU156" s="3">
        <f t="shared" si="1090"/>
        <v>0.11667843062533659</v>
      </c>
      <c r="CV156" s="3">
        <f t="shared" si="1091"/>
        <v>0.11667843062533659</v>
      </c>
      <c r="CW156" s="3">
        <f t="shared" si="1092"/>
        <v>0.11667843062533659</v>
      </c>
      <c r="CX156" s="3">
        <f t="shared" si="1093"/>
        <v>650</v>
      </c>
      <c r="CY156" s="3">
        <f t="shared" si="1061"/>
        <v>650</v>
      </c>
      <c r="CZ156" s="3">
        <f t="shared" si="1041"/>
        <v>650</v>
      </c>
      <c r="DA156" s="3">
        <f t="shared" si="1005"/>
        <v>650</v>
      </c>
      <c r="DB156" s="3">
        <f t="shared" si="941"/>
        <v>650</v>
      </c>
      <c r="DC156" s="3">
        <f t="shared" si="1082"/>
        <v>650</v>
      </c>
      <c r="DD156" s="3">
        <f t="shared" si="1082"/>
        <v>650</v>
      </c>
      <c r="DE156" s="3">
        <f t="shared" si="1082"/>
        <v>650</v>
      </c>
      <c r="DF156" s="3">
        <f t="shared" si="1082"/>
        <v>650</v>
      </c>
      <c r="DG156" s="3">
        <f t="shared" si="1082"/>
        <v>650</v>
      </c>
      <c r="DH156" s="3">
        <f t="shared" si="1082"/>
        <v>650</v>
      </c>
      <c r="DI156" s="3">
        <f t="shared" si="1082"/>
        <v>650</v>
      </c>
      <c r="DJ156" s="3">
        <f t="shared" si="1082"/>
        <v>650</v>
      </c>
      <c r="DK156" s="3">
        <f t="shared" si="1082"/>
        <v>650</v>
      </c>
      <c r="DL156" s="5">
        <v>37</v>
      </c>
      <c r="DM156" s="6">
        <f t="shared" si="840"/>
        <v>0.33333333333333331</v>
      </c>
      <c r="DQ156" s="94"/>
      <c r="DR156" s="95"/>
      <c r="DS156" s="5">
        <v>37</v>
      </c>
      <c r="DT156" s="6">
        <f t="shared" si="841"/>
        <v>0.33333333333333331</v>
      </c>
      <c r="DU156" s="3">
        <f t="shared" si="1083"/>
        <v>600</v>
      </c>
      <c r="DV156" s="3">
        <f t="shared" si="1083"/>
        <v>600</v>
      </c>
      <c r="DW156" s="3">
        <f t="shared" si="1083"/>
        <v>600</v>
      </c>
      <c r="DX156" s="3">
        <f t="shared" si="1083"/>
        <v>600</v>
      </c>
      <c r="DY156" s="3">
        <f t="shared" si="1083"/>
        <v>600</v>
      </c>
      <c r="DZ156" s="3">
        <f t="shared" si="1083"/>
        <v>600</v>
      </c>
      <c r="EA156" s="3">
        <f t="shared" si="1083"/>
        <v>600</v>
      </c>
      <c r="EB156" s="3">
        <f t="shared" si="1083"/>
        <v>600</v>
      </c>
      <c r="EC156" s="3">
        <f t="shared" si="1083"/>
        <v>600</v>
      </c>
      <c r="ED156" s="3">
        <f t="shared" si="942"/>
        <v>600</v>
      </c>
      <c r="EE156" s="3">
        <f t="shared" si="1006"/>
        <v>600</v>
      </c>
      <c r="EF156" s="3">
        <f t="shared" si="1042"/>
        <v>600</v>
      </c>
      <c r="EG156" s="3">
        <f t="shared" si="1062"/>
        <v>600</v>
      </c>
      <c r="EH156" s="3">
        <f t="shared" si="1094"/>
        <v>600</v>
      </c>
      <c r="EI156" s="3">
        <f t="shared" si="1095"/>
        <v>539.73840310115497</v>
      </c>
      <c r="EJ156" s="3">
        <f t="shared" si="1096"/>
        <v>540.28274257498811</v>
      </c>
      <c r="EK156" s="3">
        <f t="shared" si="1097"/>
        <v>541.71400999907587</v>
      </c>
      <c r="EL156" s="3">
        <f t="shared" si="1098"/>
        <v>650</v>
      </c>
      <c r="EM156" s="3">
        <f t="shared" si="1068"/>
        <v>650</v>
      </c>
      <c r="EN156" s="3">
        <f t="shared" si="1050"/>
        <v>650</v>
      </c>
      <c r="EO156" s="3">
        <f t="shared" si="1016"/>
        <v>650</v>
      </c>
      <c r="EP156" s="3">
        <f t="shared" si="954"/>
        <v>650</v>
      </c>
      <c r="EQ156" s="3">
        <f t="shared" si="1084"/>
        <v>650</v>
      </c>
      <c r="ER156" s="3">
        <f t="shared" si="1084"/>
        <v>650</v>
      </c>
      <c r="ES156" s="3">
        <f t="shared" si="1084"/>
        <v>650</v>
      </c>
      <c r="ET156" s="3">
        <f t="shared" si="1084"/>
        <v>650</v>
      </c>
      <c r="EU156" s="3">
        <f t="shared" si="1084"/>
        <v>650</v>
      </c>
      <c r="EV156" s="3">
        <f t="shared" si="1084"/>
        <v>650</v>
      </c>
      <c r="EW156" s="3">
        <f t="shared" si="1084"/>
        <v>650</v>
      </c>
      <c r="EX156" s="3">
        <f t="shared" si="1084"/>
        <v>650</v>
      </c>
      <c r="EY156" s="3">
        <f t="shared" si="1084"/>
        <v>650</v>
      </c>
      <c r="EZ156" s="5">
        <v>37</v>
      </c>
      <c r="FA156" s="6">
        <f t="shared" si="845"/>
        <v>0.33333333333333331</v>
      </c>
    </row>
    <row r="157" spans="3:157" x14ac:dyDescent="0.3">
      <c r="C157" s="94"/>
      <c r="D157" s="95"/>
      <c r="E157" s="5">
        <v>36</v>
      </c>
      <c r="F157" s="6">
        <f t="shared" si="816"/>
        <v>0.32407407407407407</v>
      </c>
      <c r="G157" s="3">
        <f t="shared" si="1069"/>
        <v>600</v>
      </c>
      <c r="H157" s="3">
        <f t="shared" si="1069"/>
        <v>600</v>
      </c>
      <c r="I157" s="3">
        <f t="shared" si="1069"/>
        <v>600</v>
      </c>
      <c r="J157" s="3">
        <f t="shared" si="1069"/>
        <v>600</v>
      </c>
      <c r="K157" s="3">
        <f t="shared" si="1069"/>
        <v>600</v>
      </c>
      <c r="L157" s="3">
        <f t="shared" si="1069"/>
        <v>600</v>
      </c>
      <c r="M157" s="3">
        <f t="shared" si="1069"/>
        <v>600</v>
      </c>
      <c r="N157" s="3">
        <f t="shared" si="1069"/>
        <v>600</v>
      </c>
      <c r="O157" s="3">
        <f t="shared" si="1069"/>
        <v>600</v>
      </c>
      <c r="P157" s="3">
        <f t="shared" si="914"/>
        <v>600</v>
      </c>
      <c r="Q157" s="3">
        <f t="shared" si="975"/>
        <v>600</v>
      </c>
      <c r="R157" s="3">
        <f t="shared" si="1017"/>
        <v>600</v>
      </c>
      <c r="S157" s="3">
        <f t="shared" si="1051"/>
        <v>600</v>
      </c>
      <c r="T157" s="3">
        <f t="shared" si="1085"/>
        <v>600</v>
      </c>
      <c r="U157" s="3">
        <f t="shared" si="1071"/>
        <v>610.770497089483</v>
      </c>
      <c r="V157" s="3">
        <f t="shared" si="1072"/>
        <v>611.38102842883404</v>
      </c>
      <c r="W157" s="3">
        <f t="shared" si="1073"/>
        <v>613.00342065978873</v>
      </c>
      <c r="X157" s="3">
        <f t="shared" si="1086"/>
        <v>650</v>
      </c>
      <c r="Y157" s="3">
        <f t="shared" si="1052"/>
        <v>650</v>
      </c>
      <c r="Z157" s="3">
        <f t="shared" si="1025"/>
        <v>650</v>
      </c>
      <c r="AA157" s="3">
        <f t="shared" si="985"/>
        <v>650</v>
      </c>
      <c r="AB157" s="3">
        <f t="shared" si="915"/>
        <v>650</v>
      </c>
      <c r="AC157" s="3">
        <f t="shared" si="1075"/>
        <v>650</v>
      </c>
      <c r="AD157" s="3">
        <f t="shared" si="1075"/>
        <v>650</v>
      </c>
      <c r="AE157" s="3">
        <f t="shared" si="1075"/>
        <v>650</v>
      </c>
      <c r="AF157" s="3">
        <f t="shared" si="1075"/>
        <v>650</v>
      </c>
      <c r="AG157" s="3">
        <f t="shared" si="1075"/>
        <v>650</v>
      </c>
      <c r="AH157" s="3">
        <f t="shared" si="1075"/>
        <v>650</v>
      </c>
      <c r="AI157" s="3">
        <f t="shared" si="1075"/>
        <v>650</v>
      </c>
      <c r="AJ157" s="3">
        <f t="shared" si="1075"/>
        <v>650</v>
      </c>
      <c r="AK157" s="3">
        <f t="shared" si="1075"/>
        <v>650</v>
      </c>
      <c r="AL157" s="5">
        <v>36</v>
      </c>
      <c r="AM157" s="6">
        <f t="shared" si="820"/>
        <v>0.32407407407407407</v>
      </c>
      <c r="AP157" s="102"/>
      <c r="AQ157" s="101"/>
      <c r="AR157" s="5">
        <v>36</v>
      </c>
      <c r="AS157" s="6">
        <f t="shared" si="821"/>
        <v>0.32407407407407407</v>
      </c>
      <c r="AT157" s="3">
        <f t="shared" si="1076"/>
        <v>600</v>
      </c>
      <c r="AU157" s="3">
        <f t="shared" si="1076"/>
        <v>600</v>
      </c>
      <c r="AV157" s="3">
        <f t="shared" si="1076"/>
        <v>600</v>
      </c>
      <c r="AW157" s="3">
        <f t="shared" si="1076"/>
        <v>600</v>
      </c>
      <c r="AX157" s="3">
        <f t="shared" si="1076"/>
        <v>600</v>
      </c>
      <c r="AY157" s="3">
        <f t="shared" si="1076"/>
        <v>600</v>
      </c>
      <c r="AZ157" s="3">
        <f t="shared" si="1076"/>
        <v>600</v>
      </c>
      <c r="BA157" s="3">
        <f t="shared" si="1076"/>
        <v>600</v>
      </c>
      <c r="BB157" s="3">
        <f t="shared" si="1076"/>
        <v>600</v>
      </c>
      <c r="BC157" s="3">
        <f t="shared" si="916"/>
        <v>600</v>
      </c>
      <c r="BD157" s="3">
        <f t="shared" si="986"/>
        <v>600</v>
      </c>
      <c r="BE157" s="3">
        <f t="shared" si="1026"/>
        <v>600</v>
      </c>
      <c r="BF157" s="3">
        <f t="shared" si="1053"/>
        <v>600</v>
      </c>
      <c r="BG157" s="3">
        <f t="shared" si="1087"/>
        <v>600</v>
      </c>
      <c r="BH157" s="3">
        <f t="shared" si="1077"/>
        <v>-2191397569.7658744</v>
      </c>
      <c r="BI157" s="3">
        <f t="shared" si="1078"/>
        <v>-2193587133.3934183</v>
      </c>
      <c r="BJ157" s="3">
        <f t="shared" si="1079"/>
        <v>-2199408647.1237335</v>
      </c>
      <c r="BK157" s="3">
        <f t="shared" si="1088"/>
        <v>650</v>
      </c>
      <c r="BL157" s="3">
        <f t="shared" si="1054"/>
        <v>650</v>
      </c>
      <c r="BM157" s="3">
        <f t="shared" si="1032"/>
        <v>650</v>
      </c>
      <c r="BN157" s="3">
        <f t="shared" si="994"/>
        <v>650</v>
      </c>
      <c r="BO157" s="3">
        <f t="shared" si="928"/>
        <v>650</v>
      </c>
      <c r="BP157" s="3">
        <f t="shared" si="1080"/>
        <v>650</v>
      </c>
      <c r="BQ157" s="3">
        <f t="shared" si="1080"/>
        <v>650</v>
      </c>
      <c r="BR157" s="3">
        <f t="shared" si="1080"/>
        <v>650</v>
      </c>
      <c r="BS157" s="3">
        <f t="shared" si="1080"/>
        <v>650</v>
      </c>
      <c r="BT157" s="3">
        <f t="shared" si="1080"/>
        <v>650</v>
      </c>
      <c r="BU157" s="3">
        <f t="shared" si="1080"/>
        <v>650</v>
      </c>
      <c r="BV157" s="3">
        <f t="shared" si="1080"/>
        <v>650</v>
      </c>
      <c r="BW157" s="3">
        <f t="shared" si="1080"/>
        <v>650</v>
      </c>
      <c r="BX157" s="3">
        <f t="shared" si="1080"/>
        <v>650</v>
      </c>
      <c r="BY157" s="5">
        <v>36</v>
      </c>
      <c r="BZ157" s="6">
        <f t="shared" si="836"/>
        <v>0.32407407407407407</v>
      </c>
      <c r="CC157" s="94"/>
      <c r="CD157" s="95"/>
      <c r="CE157" s="5">
        <v>36</v>
      </c>
      <c r="CF157" s="6">
        <f t="shared" si="837"/>
        <v>0.32407407407407407</v>
      </c>
      <c r="CG157" s="3">
        <f t="shared" si="1081"/>
        <v>600</v>
      </c>
      <c r="CH157" s="3">
        <f t="shared" si="1081"/>
        <v>600</v>
      </c>
      <c r="CI157" s="3">
        <f t="shared" si="1081"/>
        <v>600</v>
      </c>
      <c r="CJ157" s="3">
        <f t="shared" si="1081"/>
        <v>600</v>
      </c>
      <c r="CK157" s="3">
        <f t="shared" si="1081"/>
        <v>600</v>
      </c>
      <c r="CL157" s="3">
        <f t="shared" si="1081"/>
        <v>600</v>
      </c>
      <c r="CM157" s="3">
        <f t="shared" si="1081"/>
        <v>600</v>
      </c>
      <c r="CN157" s="3">
        <f t="shared" si="1081"/>
        <v>600</v>
      </c>
      <c r="CO157" s="3">
        <f t="shared" si="1081"/>
        <v>600</v>
      </c>
      <c r="CP157" s="3">
        <f t="shared" si="929"/>
        <v>600</v>
      </c>
      <c r="CQ157" s="3">
        <f t="shared" si="995"/>
        <v>600</v>
      </c>
      <c r="CR157" s="3">
        <f t="shared" si="1033"/>
        <v>600</v>
      </c>
      <c r="CS157" s="3">
        <f t="shared" si="1055"/>
        <v>600</v>
      </c>
      <c r="CT157" s="3">
        <f t="shared" si="1089"/>
        <v>600</v>
      </c>
      <c r="CU157" s="3">
        <f t="shared" si="1090"/>
        <v>0.11667843062533659</v>
      </c>
      <c r="CV157" s="3">
        <f t="shared" si="1091"/>
        <v>0.11667843062533659</v>
      </c>
      <c r="CW157" s="3">
        <f t="shared" si="1092"/>
        <v>0.11667843062533659</v>
      </c>
      <c r="CX157" s="3">
        <f t="shared" si="1093"/>
        <v>650</v>
      </c>
      <c r="CY157" s="3">
        <f t="shared" si="1061"/>
        <v>650</v>
      </c>
      <c r="CZ157" s="3">
        <f t="shared" si="1041"/>
        <v>650</v>
      </c>
      <c r="DA157" s="3">
        <f t="shared" si="1005"/>
        <v>650</v>
      </c>
      <c r="DB157" s="3">
        <f t="shared" si="941"/>
        <v>650</v>
      </c>
      <c r="DC157" s="3">
        <f t="shared" si="1082"/>
        <v>650</v>
      </c>
      <c r="DD157" s="3">
        <f t="shared" si="1082"/>
        <v>650</v>
      </c>
      <c r="DE157" s="3">
        <f t="shared" si="1082"/>
        <v>650</v>
      </c>
      <c r="DF157" s="3">
        <f t="shared" si="1082"/>
        <v>650</v>
      </c>
      <c r="DG157" s="3">
        <f t="shared" si="1082"/>
        <v>650</v>
      </c>
      <c r="DH157" s="3">
        <f t="shared" si="1082"/>
        <v>650</v>
      </c>
      <c r="DI157" s="3">
        <f t="shared" si="1082"/>
        <v>650</v>
      </c>
      <c r="DJ157" s="3">
        <f t="shared" si="1082"/>
        <v>650</v>
      </c>
      <c r="DK157" s="3">
        <f t="shared" si="1082"/>
        <v>650</v>
      </c>
      <c r="DL157" s="5">
        <v>36</v>
      </c>
      <c r="DM157" s="6">
        <f t="shared" si="840"/>
        <v>0.32407407407407407</v>
      </c>
      <c r="DQ157" s="94"/>
      <c r="DR157" s="95"/>
      <c r="DS157" s="5">
        <v>36</v>
      </c>
      <c r="DT157" s="6">
        <f t="shared" si="841"/>
        <v>0.32407407407407407</v>
      </c>
      <c r="DU157" s="3">
        <f t="shared" si="1083"/>
        <v>600</v>
      </c>
      <c r="DV157" s="3">
        <f t="shared" si="1083"/>
        <v>600</v>
      </c>
      <c r="DW157" s="3">
        <f t="shared" si="1083"/>
        <v>600</v>
      </c>
      <c r="DX157" s="3">
        <f t="shared" si="1083"/>
        <v>600</v>
      </c>
      <c r="DY157" s="3">
        <f t="shared" si="1083"/>
        <v>600</v>
      </c>
      <c r="DZ157" s="3">
        <f t="shared" si="1083"/>
        <v>600</v>
      </c>
      <c r="EA157" s="3">
        <f t="shared" si="1083"/>
        <v>600</v>
      </c>
      <c r="EB157" s="3">
        <f t="shared" si="1083"/>
        <v>600</v>
      </c>
      <c r="EC157" s="3">
        <f t="shared" si="1083"/>
        <v>600</v>
      </c>
      <c r="ED157" s="3">
        <f t="shared" si="942"/>
        <v>600</v>
      </c>
      <c r="EE157" s="3">
        <f t="shared" si="1006"/>
        <v>600</v>
      </c>
      <c r="EF157" s="3">
        <f t="shared" si="1042"/>
        <v>600</v>
      </c>
      <c r="EG157" s="3">
        <f t="shared" si="1062"/>
        <v>600</v>
      </c>
      <c r="EH157" s="3">
        <f t="shared" si="1094"/>
        <v>600</v>
      </c>
      <c r="EI157" s="3">
        <f t="shared" si="1095"/>
        <v>539.52356741014796</v>
      </c>
      <c r="EJ157" s="3">
        <f t="shared" si="1096"/>
        <v>540.06322900882026</v>
      </c>
      <c r="EK157" s="3">
        <f t="shared" si="1097"/>
        <v>541.49619048187651</v>
      </c>
      <c r="EL157" s="3">
        <f t="shared" si="1098"/>
        <v>650</v>
      </c>
      <c r="EM157" s="3">
        <f t="shared" si="1068"/>
        <v>650</v>
      </c>
      <c r="EN157" s="3">
        <f t="shared" si="1050"/>
        <v>650</v>
      </c>
      <c r="EO157" s="3">
        <f t="shared" si="1016"/>
        <v>650</v>
      </c>
      <c r="EP157" s="3">
        <f t="shared" si="954"/>
        <v>650</v>
      </c>
      <c r="EQ157" s="3">
        <f t="shared" si="1084"/>
        <v>650</v>
      </c>
      <c r="ER157" s="3">
        <f t="shared" si="1084"/>
        <v>650</v>
      </c>
      <c r="ES157" s="3">
        <f t="shared" si="1084"/>
        <v>650</v>
      </c>
      <c r="ET157" s="3">
        <f t="shared" si="1084"/>
        <v>650</v>
      </c>
      <c r="EU157" s="3">
        <f t="shared" si="1084"/>
        <v>650</v>
      </c>
      <c r="EV157" s="3">
        <f t="shared" si="1084"/>
        <v>650</v>
      </c>
      <c r="EW157" s="3">
        <f t="shared" si="1084"/>
        <v>650</v>
      </c>
      <c r="EX157" s="3">
        <f t="shared" si="1084"/>
        <v>650</v>
      </c>
      <c r="EY157" s="3">
        <f t="shared" si="1084"/>
        <v>650</v>
      </c>
      <c r="EZ157" s="5">
        <v>36</v>
      </c>
      <c r="FA157" s="6">
        <f t="shared" si="845"/>
        <v>0.32407407407407407</v>
      </c>
    </row>
    <row r="158" spans="3:157" x14ac:dyDescent="0.3">
      <c r="C158" s="94"/>
      <c r="D158" s="95"/>
      <c r="E158" s="5">
        <v>35</v>
      </c>
      <c r="F158" s="6">
        <f t="shared" si="816"/>
        <v>0.31481481481481477</v>
      </c>
      <c r="G158" s="3">
        <f t="shared" ref="G158:O167" si="1099">$R$2</f>
        <v>600</v>
      </c>
      <c r="H158" s="3">
        <f t="shared" si="1099"/>
        <v>600</v>
      </c>
      <c r="I158" s="3">
        <f t="shared" si="1099"/>
        <v>600</v>
      </c>
      <c r="J158" s="3">
        <f t="shared" si="1099"/>
        <v>600</v>
      </c>
      <c r="K158" s="3">
        <f t="shared" si="1099"/>
        <v>600</v>
      </c>
      <c r="L158" s="3">
        <f t="shared" si="1099"/>
        <v>600</v>
      </c>
      <c r="M158" s="3">
        <f t="shared" si="1099"/>
        <v>600</v>
      </c>
      <c r="N158" s="3">
        <f t="shared" si="1099"/>
        <v>600</v>
      </c>
      <c r="O158" s="3">
        <f t="shared" si="1099"/>
        <v>600</v>
      </c>
      <c r="P158" s="3">
        <f t="shared" si="914"/>
        <v>600</v>
      </c>
      <c r="Q158" s="3">
        <f t="shared" si="975"/>
        <v>600</v>
      </c>
      <c r="R158" s="3">
        <f t="shared" si="1017"/>
        <v>600</v>
      </c>
      <c r="S158" s="3">
        <f t="shared" si="1051"/>
        <v>600</v>
      </c>
      <c r="T158" s="3">
        <f t="shared" si="1085"/>
        <v>600</v>
      </c>
      <c r="U158" s="3">
        <f t="shared" si="1071"/>
        <v>610.62639681977203</v>
      </c>
      <c r="V158" s="3">
        <f t="shared" si="1072"/>
        <v>611.23379049398352</v>
      </c>
      <c r="W158" s="3">
        <f t="shared" si="1073"/>
        <v>612.85731899777988</v>
      </c>
      <c r="X158" s="3">
        <f t="shared" si="1086"/>
        <v>650</v>
      </c>
      <c r="Y158" s="3">
        <f t="shared" si="1052"/>
        <v>650</v>
      </c>
      <c r="Z158" s="3">
        <f t="shared" si="1025"/>
        <v>650</v>
      </c>
      <c r="AA158" s="3">
        <f t="shared" si="985"/>
        <v>650</v>
      </c>
      <c r="AB158" s="3">
        <f t="shared" si="915"/>
        <v>650</v>
      </c>
      <c r="AC158" s="3">
        <f t="shared" ref="AC158:AK167" si="1100">$R$3</f>
        <v>650</v>
      </c>
      <c r="AD158" s="3">
        <f t="shared" si="1100"/>
        <v>650</v>
      </c>
      <c r="AE158" s="3">
        <f t="shared" si="1100"/>
        <v>650</v>
      </c>
      <c r="AF158" s="3">
        <f t="shared" si="1100"/>
        <v>650</v>
      </c>
      <c r="AG158" s="3">
        <f t="shared" si="1100"/>
        <v>650</v>
      </c>
      <c r="AH158" s="3">
        <f t="shared" si="1100"/>
        <v>650</v>
      </c>
      <c r="AI158" s="3">
        <f t="shared" si="1100"/>
        <v>650</v>
      </c>
      <c r="AJ158" s="3">
        <f t="shared" si="1100"/>
        <v>650</v>
      </c>
      <c r="AK158" s="3">
        <f t="shared" si="1100"/>
        <v>650</v>
      </c>
      <c r="AL158" s="5">
        <v>35</v>
      </c>
      <c r="AM158" s="6">
        <f t="shared" si="820"/>
        <v>0.31481481481481477</v>
      </c>
      <c r="AP158" s="102"/>
      <c r="AQ158" s="101"/>
      <c r="AR158" s="5">
        <v>35</v>
      </c>
      <c r="AS158" s="6">
        <f t="shared" si="821"/>
        <v>0.31481481481481477</v>
      </c>
      <c r="AT158" s="3">
        <f t="shared" ref="AT158:BB167" si="1101">$R$2</f>
        <v>600</v>
      </c>
      <c r="AU158" s="3">
        <f t="shared" si="1101"/>
        <v>600</v>
      </c>
      <c r="AV158" s="3">
        <f t="shared" si="1101"/>
        <v>600</v>
      </c>
      <c r="AW158" s="3">
        <f t="shared" si="1101"/>
        <v>600</v>
      </c>
      <c r="AX158" s="3">
        <f t="shared" si="1101"/>
        <v>600</v>
      </c>
      <c r="AY158" s="3">
        <f t="shared" si="1101"/>
        <v>600</v>
      </c>
      <c r="AZ158" s="3">
        <f t="shared" si="1101"/>
        <v>600</v>
      </c>
      <c r="BA158" s="3">
        <f t="shared" si="1101"/>
        <v>600</v>
      </c>
      <c r="BB158" s="3">
        <f t="shared" si="1101"/>
        <v>600</v>
      </c>
      <c r="BC158" s="3">
        <f t="shared" si="916"/>
        <v>600</v>
      </c>
      <c r="BD158" s="3">
        <f t="shared" si="986"/>
        <v>600</v>
      </c>
      <c r="BE158" s="3">
        <f t="shared" si="1026"/>
        <v>600</v>
      </c>
      <c r="BF158" s="3">
        <f t="shared" si="1053"/>
        <v>600</v>
      </c>
      <c r="BG158" s="3">
        <f t="shared" si="1087"/>
        <v>600</v>
      </c>
      <c r="BH158" s="3">
        <f t="shared" si="1077"/>
        <v>-2190898228.8333426</v>
      </c>
      <c r="BI158" s="3">
        <f t="shared" si="1078"/>
        <v>-2193076919.723907</v>
      </c>
      <c r="BJ158" s="3">
        <f t="shared" si="1079"/>
        <v>-2198902370.9004722</v>
      </c>
      <c r="BK158" s="3">
        <f t="shared" si="1088"/>
        <v>650</v>
      </c>
      <c r="BL158" s="3">
        <f t="shared" si="1054"/>
        <v>650</v>
      </c>
      <c r="BM158" s="3">
        <f t="shared" si="1032"/>
        <v>650</v>
      </c>
      <c r="BN158" s="3">
        <f t="shared" si="994"/>
        <v>650</v>
      </c>
      <c r="BO158" s="3">
        <f t="shared" si="928"/>
        <v>650</v>
      </c>
      <c r="BP158" s="3">
        <f t="shared" ref="BP158:BX167" si="1102">$R$3</f>
        <v>650</v>
      </c>
      <c r="BQ158" s="3">
        <f t="shared" si="1102"/>
        <v>650</v>
      </c>
      <c r="BR158" s="3">
        <f t="shared" si="1102"/>
        <v>650</v>
      </c>
      <c r="BS158" s="3">
        <f t="shared" si="1102"/>
        <v>650</v>
      </c>
      <c r="BT158" s="3">
        <f t="shared" si="1102"/>
        <v>650</v>
      </c>
      <c r="BU158" s="3">
        <f t="shared" si="1102"/>
        <v>650</v>
      </c>
      <c r="BV158" s="3">
        <f t="shared" si="1102"/>
        <v>650</v>
      </c>
      <c r="BW158" s="3">
        <f t="shared" si="1102"/>
        <v>650</v>
      </c>
      <c r="BX158" s="3">
        <f t="shared" si="1102"/>
        <v>650</v>
      </c>
      <c r="BY158" s="5">
        <v>35</v>
      </c>
      <c r="BZ158" s="6">
        <f t="shared" si="836"/>
        <v>0.31481481481481477</v>
      </c>
      <c r="CC158" s="94"/>
      <c r="CD158" s="95"/>
      <c r="CE158" s="5">
        <v>35</v>
      </c>
      <c r="CF158" s="6">
        <f t="shared" si="837"/>
        <v>0.31481481481481477</v>
      </c>
      <c r="CG158" s="3">
        <f t="shared" ref="CG158:CO167" si="1103">$R$2</f>
        <v>600</v>
      </c>
      <c r="CH158" s="3">
        <f t="shared" si="1103"/>
        <v>600</v>
      </c>
      <c r="CI158" s="3">
        <f t="shared" si="1103"/>
        <v>600</v>
      </c>
      <c r="CJ158" s="3">
        <f t="shared" si="1103"/>
        <v>600</v>
      </c>
      <c r="CK158" s="3">
        <f t="shared" si="1103"/>
        <v>600</v>
      </c>
      <c r="CL158" s="3">
        <f t="shared" si="1103"/>
        <v>600</v>
      </c>
      <c r="CM158" s="3">
        <f t="shared" si="1103"/>
        <v>600</v>
      </c>
      <c r="CN158" s="3">
        <f t="shared" si="1103"/>
        <v>600</v>
      </c>
      <c r="CO158" s="3">
        <f t="shared" si="1103"/>
        <v>600</v>
      </c>
      <c r="CP158" s="3">
        <f t="shared" si="929"/>
        <v>600</v>
      </c>
      <c r="CQ158" s="3">
        <f t="shared" si="995"/>
        <v>600</v>
      </c>
      <c r="CR158" s="3">
        <f t="shared" si="1033"/>
        <v>600</v>
      </c>
      <c r="CS158" s="3">
        <f t="shared" si="1055"/>
        <v>600</v>
      </c>
      <c r="CT158" s="3">
        <f t="shared" si="1089"/>
        <v>600</v>
      </c>
      <c r="CU158" s="3">
        <f t="shared" si="1090"/>
        <v>0.11667843062533659</v>
      </c>
      <c r="CV158" s="3">
        <f t="shared" si="1091"/>
        <v>0.11667843062533659</v>
      </c>
      <c r="CW158" s="3">
        <f t="shared" si="1092"/>
        <v>0.11667843062533659</v>
      </c>
      <c r="CX158" s="3">
        <f t="shared" si="1093"/>
        <v>650</v>
      </c>
      <c r="CY158" s="3">
        <f t="shared" si="1061"/>
        <v>650</v>
      </c>
      <c r="CZ158" s="3">
        <f t="shared" si="1041"/>
        <v>650</v>
      </c>
      <c r="DA158" s="3">
        <f t="shared" si="1005"/>
        <v>650</v>
      </c>
      <c r="DB158" s="3">
        <f t="shared" si="941"/>
        <v>650</v>
      </c>
      <c r="DC158" s="3">
        <f t="shared" ref="DC158:DK167" si="1104">$R$3</f>
        <v>650</v>
      </c>
      <c r="DD158" s="3">
        <f t="shared" si="1104"/>
        <v>650</v>
      </c>
      <c r="DE158" s="3">
        <f t="shared" si="1104"/>
        <v>650</v>
      </c>
      <c r="DF158" s="3">
        <f t="shared" si="1104"/>
        <v>650</v>
      </c>
      <c r="DG158" s="3">
        <f t="shared" si="1104"/>
        <v>650</v>
      </c>
      <c r="DH158" s="3">
        <f t="shared" si="1104"/>
        <v>650</v>
      </c>
      <c r="DI158" s="3">
        <f t="shared" si="1104"/>
        <v>650</v>
      </c>
      <c r="DJ158" s="3">
        <f t="shared" si="1104"/>
        <v>650</v>
      </c>
      <c r="DK158" s="3">
        <f t="shared" si="1104"/>
        <v>650</v>
      </c>
      <c r="DL158" s="5">
        <v>35</v>
      </c>
      <c r="DM158" s="6">
        <f t="shared" si="840"/>
        <v>0.31481481481481477</v>
      </c>
      <c r="DQ158" s="94"/>
      <c r="DR158" s="95"/>
      <c r="DS158" s="5">
        <v>35</v>
      </c>
      <c r="DT158" s="6">
        <f t="shared" si="841"/>
        <v>0.31481481481481477</v>
      </c>
      <c r="DU158" s="3">
        <f t="shared" ref="DU158:EC167" si="1105">$R$2</f>
        <v>600</v>
      </c>
      <c r="DV158" s="3">
        <f t="shared" si="1105"/>
        <v>600</v>
      </c>
      <c r="DW158" s="3">
        <f t="shared" si="1105"/>
        <v>600</v>
      </c>
      <c r="DX158" s="3">
        <f t="shared" si="1105"/>
        <v>600</v>
      </c>
      <c r="DY158" s="3">
        <f t="shared" si="1105"/>
        <v>600</v>
      </c>
      <c r="DZ158" s="3">
        <f t="shared" si="1105"/>
        <v>600</v>
      </c>
      <c r="EA158" s="3">
        <f t="shared" si="1105"/>
        <v>600</v>
      </c>
      <c r="EB158" s="3">
        <f t="shared" si="1105"/>
        <v>600</v>
      </c>
      <c r="EC158" s="3">
        <f t="shared" si="1105"/>
        <v>600</v>
      </c>
      <c r="ED158" s="3">
        <f t="shared" si="942"/>
        <v>600</v>
      </c>
      <c r="EE158" s="3">
        <f t="shared" si="1006"/>
        <v>600</v>
      </c>
      <c r="EF158" s="3">
        <f t="shared" si="1042"/>
        <v>600</v>
      </c>
      <c r="EG158" s="3">
        <f t="shared" si="1062"/>
        <v>600</v>
      </c>
      <c r="EH158" s="3">
        <f t="shared" si="1094"/>
        <v>600</v>
      </c>
      <c r="EI158" s="3">
        <f t="shared" si="1095"/>
        <v>539.38991257633188</v>
      </c>
      <c r="EJ158" s="3">
        <f t="shared" si="1096"/>
        <v>539.92666395062474</v>
      </c>
      <c r="EK158" s="3">
        <f t="shared" si="1097"/>
        <v>541.36067933125639</v>
      </c>
      <c r="EL158" s="3">
        <f t="shared" si="1098"/>
        <v>650</v>
      </c>
      <c r="EM158" s="3">
        <f t="shared" si="1068"/>
        <v>650</v>
      </c>
      <c r="EN158" s="3">
        <f t="shared" si="1050"/>
        <v>650</v>
      </c>
      <c r="EO158" s="3">
        <f t="shared" si="1016"/>
        <v>650</v>
      </c>
      <c r="EP158" s="3">
        <f t="shared" si="954"/>
        <v>650</v>
      </c>
      <c r="EQ158" s="3">
        <f t="shared" ref="EQ158:EY167" si="1106">$R$3</f>
        <v>650</v>
      </c>
      <c r="ER158" s="3">
        <f t="shared" si="1106"/>
        <v>650</v>
      </c>
      <c r="ES158" s="3">
        <f t="shared" si="1106"/>
        <v>650</v>
      </c>
      <c r="ET158" s="3">
        <f t="shared" si="1106"/>
        <v>650</v>
      </c>
      <c r="EU158" s="3">
        <f t="shared" si="1106"/>
        <v>650</v>
      </c>
      <c r="EV158" s="3">
        <f t="shared" si="1106"/>
        <v>650</v>
      </c>
      <c r="EW158" s="3">
        <f t="shared" si="1106"/>
        <v>650</v>
      </c>
      <c r="EX158" s="3">
        <f t="shared" si="1106"/>
        <v>650</v>
      </c>
      <c r="EY158" s="3">
        <f t="shared" si="1106"/>
        <v>650</v>
      </c>
      <c r="EZ158" s="5">
        <v>35</v>
      </c>
      <c r="FA158" s="6">
        <f t="shared" si="845"/>
        <v>0.31481481481481477</v>
      </c>
    </row>
    <row r="159" spans="3:157" x14ac:dyDescent="0.3">
      <c r="C159" s="94"/>
      <c r="D159" s="95"/>
      <c r="E159" s="5">
        <v>34</v>
      </c>
      <c r="F159" s="6">
        <f t="shared" si="816"/>
        <v>0.30555555555555552</v>
      </c>
      <c r="G159" s="3">
        <f t="shared" si="1099"/>
        <v>600</v>
      </c>
      <c r="H159" s="3">
        <f t="shared" si="1099"/>
        <v>600</v>
      </c>
      <c r="I159" s="3">
        <f t="shared" si="1099"/>
        <v>600</v>
      </c>
      <c r="J159" s="3">
        <f t="shared" si="1099"/>
        <v>600</v>
      </c>
      <c r="K159" s="3">
        <f t="shared" si="1099"/>
        <v>600</v>
      </c>
      <c r="L159" s="3">
        <f t="shared" si="1099"/>
        <v>600</v>
      </c>
      <c r="M159" s="3">
        <f t="shared" si="1099"/>
        <v>600</v>
      </c>
      <c r="N159" s="3">
        <f t="shared" si="1099"/>
        <v>600</v>
      </c>
      <c r="O159" s="3">
        <f t="shared" si="1099"/>
        <v>600</v>
      </c>
      <c r="P159" s="3">
        <f t="shared" si="914"/>
        <v>600</v>
      </c>
      <c r="Q159" s="3">
        <f t="shared" si="975"/>
        <v>600</v>
      </c>
      <c r="R159" s="3">
        <f t="shared" si="1017"/>
        <v>600</v>
      </c>
      <c r="S159" s="3">
        <f t="shared" si="1051"/>
        <v>600</v>
      </c>
      <c r="T159" s="3">
        <f t="shared" si="1085"/>
        <v>600</v>
      </c>
      <c r="U159" s="3">
        <f t="shared" si="1071"/>
        <v>610.53687353908651</v>
      </c>
      <c r="V159" s="3">
        <f t="shared" si="1072"/>
        <v>611.14231791762313</v>
      </c>
      <c r="W159" s="3">
        <f t="shared" si="1073"/>
        <v>612.76655233823521</v>
      </c>
      <c r="X159" s="3">
        <f t="shared" si="1086"/>
        <v>650</v>
      </c>
      <c r="Y159" s="3">
        <f t="shared" si="1052"/>
        <v>650</v>
      </c>
      <c r="Z159" s="3">
        <f t="shared" si="1025"/>
        <v>650</v>
      </c>
      <c r="AA159" s="3">
        <f t="shared" si="985"/>
        <v>650</v>
      </c>
      <c r="AB159" s="3">
        <f t="shared" si="915"/>
        <v>650</v>
      </c>
      <c r="AC159" s="3">
        <f t="shared" si="1100"/>
        <v>650</v>
      </c>
      <c r="AD159" s="3">
        <f t="shared" si="1100"/>
        <v>650</v>
      </c>
      <c r="AE159" s="3">
        <f t="shared" si="1100"/>
        <v>650</v>
      </c>
      <c r="AF159" s="3">
        <f t="shared" si="1100"/>
        <v>650</v>
      </c>
      <c r="AG159" s="3">
        <f t="shared" si="1100"/>
        <v>650</v>
      </c>
      <c r="AH159" s="3">
        <f t="shared" si="1100"/>
        <v>650</v>
      </c>
      <c r="AI159" s="3">
        <f t="shared" si="1100"/>
        <v>650</v>
      </c>
      <c r="AJ159" s="3">
        <f t="shared" si="1100"/>
        <v>650</v>
      </c>
      <c r="AK159" s="3">
        <f t="shared" si="1100"/>
        <v>650</v>
      </c>
      <c r="AL159" s="5">
        <v>34</v>
      </c>
      <c r="AM159" s="6">
        <f t="shared" si="820"/>
        <v>0.30555555555555552</v>
      </c>
      <c r="AP159" s="102"/>
      <c r="AQ159" s="101"/>
      <c r="AR159" s="5">
        <v>34</v>
      </c>
      <c r="AS159" s="6">
        <f t="shared" si="821"/>
        <v>0.30555555555555552</v>
      </c>
      <c r="AT159" s="3">
        <f t="shared" si="1101"/>
        <v>600</v>
      </c>
      <c r="AU159" s="3">
        <f t="shared" si="1101"/>
        <v>600</v>
      </c>
      <c r="AV159" s="3">
        <f t="shared" si="1101"/>
        <v>600</v>
      </c>
      <c r="AW159" s="3">
        <f t="shared" si="1101"/>
        <v>600</v>
      </c>
      <c r="AX159" s="3">
        <f t="shared" si="1101"/>
        <v>600</v>
      </c>
      <c r="AY159" s="3">
        <f t="shared" si="1101"/>
        <v>600</v>
      </c>
      <c r="AZ159" s="3">
        <f t="shared" si="1101"/>
        <v>600</v>
      </c>
      <c r="BA159" s="3">
        <f t="shared" si="1101"/>
        <v>600</v>
      </c>
      <c r="BB159" s="3">
        <f t="shared" si="1101"/>
        <v>600</v>
      </c>
      <c r="BC159" s="3">
        <f t="shared" si="916"/>
        <v>600</v>
      </c>
      <c r="BD159" s="3">
        <f t="shared" si="986"/>
        <v>600</v>
      </c>
      <c r="BE159" s="3">
        <f t="shared" si="1026"/>
        <v>600</v>
      </c>
      <c r="BF159" s="3">
        <f t="shared" si="1053"/>
        <v>600</v>
      </c>
      <c r="BG159" s="3">
        <f t="shared" si="1087"/>
        <v>600</v>
      </c>
      <c r="BH159" s="3">
        <f t="shared" si="1077"/>
        <v>-2190588008.1297812</v>
      </c>
      <c r="BI159" s="3">
        <f t="shared" si="1078"/>
        <v>-2192759944.2203774</v>
      </c>
      <c r="BJ159" s="3">
        <f t="shared" si="1079"/>
        <v>-2198587841.5760279</v>
      </c>
      <c r="BK159" s="3">
        <f t="shared" si="1088"/>
        <v>650</v>
      </c>
      <c r="BL159" s="3">
        <f t="shared" si="1054"/>
        <v>650</v>
      </c>
      <c r="BM159" s="3">
        <f t="shared" si="1032"/>
        <v>650</v>
      </c>
      <c r="BN159" s="3">
        <f t="shared" si="994"/>
        <v>650</v>
      </c>
      <c r="BO159" s="3">
        <f t="shared" si="928"/>
        <v>650</v>
      </c>
      <c r="BP159" s="3">
        <f t="shared" si="1102"/>
        <v>650</v>
      </c>
      <c r="BQ159" s="3">
        <f t="shared" si="1102"/>
        <v>650</v>
      </c>
      <c r="BR159" s="3">
        <f t="shared" si="1102"/>
        <v>650</v>
      </c>
      <c r="BS159" s="3">
        <f t="shared" si="1102"/>
        <v>650</v>
      </c>
      <c r="BT159" s="3">
        <f t="shared" si="1102"/>
        <v>650</v>
      </c>
      <c r="BU159" s="3">
        <f t="shared" si="1102"/>
        <v>650</v>
      </c>
      <c r="BV159" s="3">
        <f t="shared" si="1102"/>
        <v>650</v>
      </c>
      <c r="BW159" s="3">
        <f t="shared" si="1102"/>
        <v>650</v>
      </c>
      <c r="BX159" s="3">
        <f t="shared" si="1102"/>
        <v>650</v>
      </c>
      <c r="BY159" s="5">
        <v>34</v>
      </c>
      <c r="BZ159" s="6">
        <f t="shared" si="836"/>
        <v>0.30555555555555552</v>
      </c>
      <c r="CC159" s="94"/>
      <c r="CD159" s="95"/>
      <c r="CE159" s="5">
        <v>34</v>
      </c>
      <c r="CF159" s="6">
        <f t="shared" si="837"/>
        <v>0.30555555555555552</v>
      </c>
      <c r="CG159" s="3">
        <f t="shared" si="1103"/>
        <v>600</v>
      </c>
      <c r="CH159" s="3">
        <f t="shared" si="1103"/>
        <v>600</v>
      </c>
      <c r="CI159" s="3">
        <f t="shared" si="1103"/>
        <v>600</v>
      </c>
      <c r="CJ159" s="3">
        <f t="shared" si="1103"/>
        <v>600</v>
      </c>
      <c r="CK159" s="3">
        <f t="shared" si="1103"/>
        <v>600</v>
      </c>
      <c r="CL159" s="3">
        <f t="shared" si="1103"/>
        <v>600</v>
      </c>
      <c r="CM159" s="3">
        <f t="shared" si="1103"/>
        <v>600</v>
      </c>
      <c r="CN159" s="3">
        <f t="shared" si="1103"/>
        <v>600</v>
      </c>
      <c r="CO159" s="3">
        <f t="shared" si="1103"/>
        <v>600</v>
      </c>
      <c r="CP159" s="3">
        <f t="shared" si="929"/>
        <v>600</v>
      </c>
      <c r="CQ159" s="3">
        <f t="shared" si="995"/>
        <v>600</v>
      </c>
      <c r="CR159" s="3">
        <f t="shared" si="1033"/>
        <v>600</v>
      </c>
      <c r="CS159" s="3">
        <f t="shared" si="1055"/>
        <v>600</v>
      </c>
      <c r="CT159" s="3">
        <f t="shared" si="1089"/>
        <v>600</v>
      </c>
      <c r="CU159" s="3">
        <f t="shared" si="1090"/>
        <v>0.11667843062533659</v>
      </c>
      <c r="CV159" s="3">
        <f t="shared" si="1091"/>
        <v>0.11667843062533659</v>
      </c>
      <c r="CW159" s="3">
        <f t="shared" si="1092"/>
        <v>0.11667843062533659</v>
      </c>
      <c r="CX159" s="3">
        <f t="shared" si="1093"/>
        <v>650</v>
      </c>
      <c r="CY159" s="3">
        <f t="shared" si="1061"/>
        <v>650</v>
      </c>
      <c r="CZ159" s="3">
        <f t="shared" si="1041"/>
        <v>650</v>
      </c>
      <c r="DA159" s="3">
        <f t="shared" si="1005"/>
        <v>650</v>
      </c>
      <c r="DB159" s="3">
        <f t="shared" si="941"/>
        <v>650</v>
      </c>
      <c r="DC159" s="3">
        <f t="shared" si="1104"/>
        <v>650</v>
      </c>
      <c r="DD159" s="3">
        <f t="shared" si="1104"/>
        <v>650</v>
      </c>
      <c r="DE159" s="3">
        <f t="shared" si="1104"/>
        <v>650</v>
      </c>
      <c r="DF159" s="3">
        <f t="shared" si="1104"/>
        <v>650</v>
      </c>
      <c r="DG159" s="3">
        <f t="shared" si="1104"/>
        <v>650</v>
      </c>
      <c r="DH159" s="3">
        <f t="shared" si="1104"/>
        <v>650</v>
      </c>
      <c r="DI159" s="3">
        <f t="shared" si="1104"/>
        <v>650</v>
      </c>
      <c r="DJ159" s="3">
        <f t="shared" si="1104"/>
        <v>650</v>
      </c>
      <c r="DK159" s="3">
        <f t="shared" si="1104"/>
        <v>650</v>
      </c>
      <c r="DL159" s="5">
        <v>34</v>
      </c>
      <c r="DM159" s="6">
        <f t="shared" si="840"/>
        <v>0.30555555555555552</v>
      </c>
      <c r="DQ159" s="94"/>
      <c r="DR159" s="95"/>
      <c r="DS159" s="5">
        <v>34</v>
      </c>
      <c r="DT159" s="6">
        <f t="shared" si="841"/>
        <v>0.30555555555555552</v>
      </c>
      <c r="DU159" s="3">
        <f t="shared" si="1105"/>
        <v>600</v>
      </c>
      <c r="DV159" s="3">
        <f t="shared" si="1105"/>
        <v>600</v>
      </c>
      <c r="DW159" s="3">
        <f t="shared" si="1105"/>
        <v>600</v>
      </c>
      <c r="DX159" s="3">
        <f t="shared" si="1105"/>
        <v>600</v>
      </c>
      <c r="DY159" s="3">
        <f t="shared" si="1105"/>
        <v>600</v>
      </c>
      <c r="DZ159" s="3">
        <f t="shared" si="1105"/>
        <v>600</v>
      </c>
      <c r="EA159" s="3">
        <f t="shared" si="1105"/>
        <v>600</v>
      </c>
      <c r="EB159" s="3">
        <f t="shared" si="1105"/>
        <v>600</v>
      </c>
      <c r="EC159" s="3">
        <f t="shared" si="1105"/>
        <v>600</v>
      </c>
      <c r="ED159" s="3">
        <f t="shared" si="942"/>
        <v>600</v>
      </c>
      <c r="EE159" s="3">
        <f t="shared" si="1006"/>
        <v>600</v>
      </c>
      <c r="EF159" s="3">
        <f t="shared" si="1042"/>
        <v>600</v>
      </c>
      <c r="EG159" s="3">
        <f t="shared" si="1062"/>
        <v>600</v>
      </c>
      <c r="EH159" s="3">
        <f t="shared" si="1094"/>
        <v>600</v>
      </c>
      <c r="EI159" s="3">
        <f t="shared" si="1095"/>
        <v>539.30685643675361</v>
      </c>
      <c r="EJ159" s="3">
        <f t="shared" si="1096"/>
        <v>539.84179933203643</v>
      </c>
      <c r="EK159" s="3">
        <f t="shared" si="1097"/>
        <v>541.27646963422274</v>
      </c>
      <c r="EL159" s="3">
        <f t="shared" si="1098"/>
        <v>650</v>
      </c>
      <c r="EM159" s="3">
        <f t="shared" si="1068"/>
        <v>650</v>
      </c>
      <c r="EN159" s="3">
        <f t="shared" si="1050"/>
        <v>650</v>
      </c>
      <c r="EO159" s="3">
        <f t="shared" si="1016"/>
        <v>650</v>
      </c>
      <c r="EP159" s="3">
        <f t="shared" si="954"/>
        <v>650</v>
      </c>
      <c r="EQ159" s="3">
        <f t="shared" si="1106"/>
        <v>650</v>
      </c>
      <c r="ER159" s="3">
        <f t="shared" si="1106"/>
        <v>650</v>
      </c>
      <c r="ES159" s="3">
        <f t="shared" si="1106"/>
        <v>650</v>
      </c>
      <c r="ET159" s="3">
        <f t="shared" si="1106"/>
        <v>650</v>
      </c>
      <c r="EU159" s="3">
        <f t="shared" si="1106"/>
        <v>650</v>
      </c>
      <c r="EV159" s="3">
        <f t="shared" si="1106"/>
        <v>650</v>
      </c>
      <c r="EW159" s="3">
        <f t="shared" si="1106"/>
        <v>650</v>
      </c>
      <c r="EX159" s="3">
        <f t="shared" si="1106"/>
        <v>650</v>
      </c>
      <c r="EY159" s="3">
        <f t="shared" si="1106"/>
        <v>650</v>
      </c>
      <c r="EZ159" s="5">
        <v>34</v>
      </c>
      <c r="FA159" s="6">
        <f t="shared" si="845"/>
        <v>0.30555555555555552</v>
      </c>
    </row>
    <row r="160" spans="3:157" x14ac:dyDescent="0.3">
      <c r="C160" s="94"/>
      <c r="D160" s="95"/>
      <c r="E160" s="5">
        <v>33</v>
      </c>
      <c r="F160" s="6">
        <f t="shared" si="816"/>
        <v>0.29629629629629628</v>
      </c>
      <c r="G160" s="3">
        <f t="shared" si="1099"/>
        <v>600</v>
      </c>
      <c r="H160" s="3">
        <f t="shared" si="1099"/>
        <v>600</v>
      </c>
      <c r="I160" s="3">
        <f t="shared" si="1099"/>
        <v>600</v>
      </c>
      <c r="J160" s="3">
        <f t="shared" si="1099"/>
        <v>600</v>
      </c>
      <c r="K160" s="3">
        <f t="shared" si="1099"/>
        <v>600</v>
      </c>
      <c r="L160" s="3">
        <f t="shared" si="1099"/>
        <v>600</v>
      </c>
      <c r="M160" s="3">
        <f t="shared" si="1099"/>
        <v>600</v>
      </c>
      <c r="N160" s="3">
        <f t="shared" si="1099"/>
        <v>600</v>
      </c>
      <c r="O160" s="3">
        <f t="shared" si="1099"/>
        <v>600</v>
      </c>
      <c r="P160" s="3">
        <f t="shared" si="914"/>
        <v>600</v>
      </c>
      <c r="Q160" s="3">
        <f t="shared" si="975"/>
        <v>600</v>
      </c>
      <c r="R160" s="3">
        <f t="shared" si="1017"/>
        <v>600</v>
      </c>
      <c r="S160" s="3">
        <f t="shared" si="1051"/>
        <v>600</v>
      </c>
      <c r="T160" s="3">
        <f t="shared" si="1085"/>
        <v>600</v>
      </c>
      <c r="U160" s="3">
        <f t="shared" si="1071"/>
        <v>610.48144648995162</v>
      </c>
      <c r="V160" s="3">
        <f t="shared" si="1072"/>
        <v>611.08568399019782</v>
      </c>
      <c r="W160" s="3">
        <f t="shared" si="1073"/>
        <v>612.71035546897804</v>
      </c>
      <c r="X160" s="3">
        <f t="shared" si="1086"/>
        <v>650</v>
      </c>
      <c r="Y160" s="3">
        <f t="shared" si="1052"/>
        <v>650</v>
      </c>
      <c r="Z160" s="3">
        <f t="shared" si="1025"/>
        <v>650</v>
      </c>
      <c r="AA160" s="3">
        <f t="shared" si="985"/>
        <v>650</v>
      </c>
      <c r="AB160" s="3">
        <f t="shared" si="915"/>
        <v>650</v>
      </c>
      <c r="AC160" s="3">
        <f t="shared" si="1100"/>
        <v>650</v>
      </c>
      <c r="AD160" s="3">
        <f t="shared" si="1100"/>
        <v>650</v>
      </c>
      <c r="AE160" s="3">
        <f t="shared" si="1100"/>
        <v>650</v>
      </c>
      <c r="AF160" s="3">
        <f t="shared" si="1100"/>
        <v>650</v>
      </c>
      <c r="AG160" s="3">
        <f t="shared" si="1100"/>
        <v>650</v>
      </c>
      <c r="AH160" s="3">
        <f t="shared" si="1100"/>
        <v>650</v>
      </c>
      <c r="AI160" s="3">
        <f t="shared" si="1100"/>
        <v>650</v>
      </c>
      <c r="AJ160" s="3">
        <f t="shared" si="1100"/>
        <v>650</v>
      </c>
      <c r="AK160" s="3">
        <f t="shared" si="1100"/>
        <v>650</v>
      </c>
      <c r="AL160" s="5">
        <v>33</v>
      </c>
      <c r="AM160" s="6">
        <f t="shared" si="820"/>
        <v>0.29629629629629628</v>
      </c>
      <c r="AP160" s="102"/>
      <c r="AQ160" s="101"/>
      <c r="AR160" s="5">
        <v>33</v>
      </c>
      <c r="AS160" s="6">
        <f t="shared" si="821"/>
        <v>0.29629629629629628</v>
      </c>
      <c r="AT160" s="3">
        <f t="shared" si="1101"/>
        <v>600</v>
      </c>
      <c r="AU160" s="3">
        <f t="shared" si="1101"/>
        <v>600</v>
      </c>
      <c r="AV160" s="3">
        <f t="shared" si="1101"/>
        <v>600</v>
      </c>
      <c r="AW160" s="3">
        <f t="shared" si="1101"/>
        <v>600</v>
      </c>
      <c r="AX160" s="3">
        <f t="shared" si="1101"/>
        <v>600</v>
      </c>
      <c r="AY160" s="3">
        <f t="shared" si="1101"/>
        <v>600</v>
      </c>
      <c r="AZ160" s="3">
        <f t="shared" si="1101"/>
        <v>600</v>
      </c>
      <c r="BA160" s="3">
        <f t="shared" si="1101"/>
        <v>600</v>
      </c>
      <c r="BB160" s="3">
        <f t="shared" si="1101"/>
        <v>600</v>
      </c>
      <c r="BC160" s="3">
        <f t="shared" si="916"/>
        <v>600</v>
      </c>
      <c r="BD160" s="3">
        <f t="shared" si="986"/>
        <v>600</v>
      </c>
      <c r="BE160" s="3">
        <f t="shared" si="1026"/>
        <v>600</v>
      </c>
      <c r="BF160" s="3">
        <f t="shared" si="1053"/>
        <v>600</v>
      </c>
      <c r="BG160" s="3">
        <f t="shared" si="1087"/>
        <v>600</v>
      </c>
      <c r="BH160" s="3">
        <f t="shared" si="1077"/>
        <v>-2190395936.4705234</v>
      </c>
      <c r="BI160" s="3">
        <f t="shared" si="1078"/>
        <v>-2192563690.359148</v>
      </c>
      <c r="BJ160" s="3">
        <f t="shared" si="1079"/>
        <v>-2198393102.2548361</v>
      </c>
      <c r="BK160" s="3">
        <f t="shared" si="1088"/>
        <v>650</v>
      </c>
      <c r="BL160" s="3">
        <f t="shared" si="1054"/>
        <v>650</v>
      </c>
      <c r="BM160" s="3">
        <f t="shared" si="1032"/>
        <v>650</v>
      </c>
      <c r="BN160" s="3">
        <f t="shared" si="994"/>
        <v>650</v>
      </c>
      <c r="BO160" s="3">
        <f t="shared" si="928"/>
        <v>650</v>
      </c>
      <c r="BP160" s="3">
        <f t="shared" si="1102"/>
        <v>650</v>
      </c>
      <c r="BQ160" s="3">
        <f t="shared" si="1102"/>
        <v>650</v>
      </c>
      <c r="BR160" s="3">
        <f t="shared" si="1102"/>
        <v>650</v>
      </c>
      <c r="BS160" s="3">
        <f t="shared" si="1102"/>
        <v>650</v>
      </c>
      <c r="BT160" s="3">
        <f t="shared" si="1102"/>
        <v>650</v>
      </c>
      <c r="BU160" s="3">
        <f t="shared" si="1102"/>
        <v>650</v>
      </c>
      <c r="BV160" s="3">
        <f t="shared" si="1102"/>
        <v>650</v>
      </c>
      <c r="BW160" s="3">
        <f t="shared" si="1102"/>
        <v>650</v>
      </c>
      <c r="BX160" s="3">
        <f t="shared" si="1102"/>
        <v>650</v>
      </c>
      <c r="BY160" s="5">
        <v>33</v>
      </c>
      <c r="BZ160" s="6">
        <f t="shared" si="836"/>
        <v>0.29629629629629628</v>
      </c>
      <c r="CC160" s="94"/>
      <c r="CD160" s="95"/>
      <c r="CE160" s="5">
        <v>33</v>
      </c>
      <c r="CF160" s="6">
        <f t="shared" si="837"/>
        <v>0.29629629629629628</v>
      </c>
      <c r="CG160" s="3">
        <f t="shared" si="1103"/>
        <v>600</v>
      </c>
      <c r="CH160" s="3">
        <f t="shared" si="1103"/>
        <v>600</v>
      </c>
      <c r="CI160" s="3">
        <f t="shared" si="1103"/>
        <v>600</v>
      </c>
      <c r="CJ160" s="3">
        <f t="shared" si="1103"/>
        <v>600</v>
      </c>
      <c r="CK160" s="3">
        <f t="shared" si="1103"/>
        <v>600</v>
      </c>
      <c r="CL160" s="3">
        <f t="shared" si="1103"/>
        <v>600</v>
      </c>
      <c r="CM160" s="3">
        <f t="shared" si="1103"/>
        <v>600</v>
      </c>
      <c r="CN160" s="3">
        <f t="shared" si="1103"/>
        <v>600</v>
      </c>
      <c r="CO160" s="3">
        <f t="shared" si="1103"/>
        <v>600</v>
      </c>
      <c r="CP160" s="3">
        <f t="shared" si="929"/>
        <v>600</v>
      </c>
      <c r="CQ160" s="3">
        <f t="shared" si="995"/>
        <v>600</v>
      </c>
      <c r="CR160" s="3">
        <f t="shared" si="1033"/>
        <v>600</v>
      </c>
      <c r="CS160" s="3">
        <f t="shared" si="1055"/>
        <v>600</v>
      </c>
      <c r="CT160" s="3">
        <f t="shared" si="1089"/>
        <v>600</v>
      </c>
      <c r="CU160" s="3">
        <f t="shared" si="1090"/>
        <v>0.11667843062533659</v>
      </c>
      <c r="CV160" s="3">
        <f t="shared" si="1091"/>
        <v>0.11667843062533659</v>
      </c>
      <c r="CW160" s="3">
        <f t="shared" si="1092"/>
        <v>0.11667843062533659</v>
      </c>
      <c r="CX160" s="3">
        <f t="shared" si="1093"/>
        <v>650</v>
      </c>
      <c r="CY160" s="3">
        <f t="shared" si="1061"/>
        <v>650</v>
      </c>
      <c r="CZ160" s="3">
        <f t="shared" si="1041"/>
        <v>650</v>
      </c>
      <c r="DA160" s="3">
        <f t="shared" si="1005"/>
        <v>650</v>
      </c>
      <c r="DB160" s="3">
        <f t="shared" si="941"/>
        <v>650</v>
      </c>
      <c r="DC160" s="3">
        <f t="shared" si="1104"/>
        <v>650</v>
      </c>
      <c r="DD160" s="3">
        <f t="shared" si="1104"/>
        <v>650</v>
      </c>
      <c r="DE160" s="3">
        <f t="shared" si="1104"/>
        <v>650</v>
      </c>
      <c r="DF160" s="3">
        <f t="shared" si="1104"/>
        <v>650</v>
      </c>
      <c r="DG160" s="3">
        <f t="shared" si="1104"/>
        <v>650</v>
      </c>
      <c r="DH160" s="3">
        <f t="shared" si="1104"/>
        <v>650</v>
      </c>
      <c r="DI160" s="3">
        <f t="shared" si="1104"/>
        <v>650</v>
      </c>
      <c r="DJ160" s="3">
        <f t="shared" si="1104"/>
        <v>650</v>
      </c>
      <c r="DK160" s="3">
        <f t="shared" si="1104"/>
        <v>650</v>
      </c>
      <c r="DL160" s="5">
        <v>33</v>
      </c>
      <c r="DM160" s="6">
        <f t="shared" si="840"/>
        <v>0.29629629629629628</v>
      </c>
      <c r="DQ160" s="94"/>
      <c r="DR160" s="95"/>
      <c r="DS160" s="5">
        <v>33</v>
      </c>
      <c r="DT160" s="6">
        <f t="shared" si="841"/>
        <v>0.29629629629629628</v>
      </c>
      <c r="DU160" s="3">
        <f t="shared" si="1105"/>
        <v>600</v>
      </c>
      <c r="DV160" s="3">
        <f t="shared" si="1105"/>
        <v>600</v>
      </c>
      <c r="DW160" s="3">
        <f t="shared" si="1105"/>
        <v>600</v>
      </c>
      <c r="DX160" s="3">
        <f t="shared" si="1105"/>
        <v>600</v>
      </c>
      <c r="DY160" s="3">
        <f t="shared" si="1105"/>
        <v>600</v>
      </c>
      <c r="DZ160" s="3">
        <f t="shared" si="1105"/>
        <v>600</v>
      </c>
      <c r="EA160" s="3">
        <f t="shared" si="1105"/>
        <v>600</v>
      </c>
      <c r="EB160" s="3">
        <f t="shared" si="1105"/>
        <v>600</v>
      </c>
      <c r="EC160" s="3">
        <f t="shared" si="1105"/>
        <v>600</v>
      </c>
      <c r="ED160" s="3">
        <f t="shared" si="942"/>
        <v>600</v>
      </c>
      <c r="EE160" s="3">
        <f t="shared" si="1006"/>
        <v>600</v>
      </c>
      <c r="EF160" s="3">
        <f t="shared" si="1042"/>
        <v>600</v>
      </c>
      <c r="EG160" s="3">
        <f t="shared" si="1062"/>
        <v>600</v>
      </c>
      <c r="EH160" s="3">
        <f t="shared" si="1094"/>
        <v>600</v>
      </c>
      <c r="EI160" s="3">
        <f t="shared" si="1095"/>
        <v>539.25539711083013</v>
      </c>
      <c r="EJ160" s="3">
        <f t="shared" si="1096"/>
        <v>539.78921952172334</v>
      </c>
      <c r="EK160" s="3">
        <f t="shared" si="1097"/>
        <v>541.22429559544378</v>
      </c>
      <c r="EL160" s="3">
        <f t="shared" si="1098"/>
        <v>650</v>
      </c>
      <c r="EM160" s="3">
        <f t="shared" si="1068"/>
        <v>650</v>
      </c>
      <c r="EN160" s="3">
        <f t="shared" si="1050"/>
        <v>650</v>
      </c>
      <c r="EO160" s="3">
        <f t="shared" si="1016"/>
        <v>650</v>
      </c>
      <c r="EP160" s="3">
        <f t="shared" si="954"/>
        <v>650</v>
      </c>
      <c r="EQ160" s="3">
        <f t="shared" si="1106"/>
        <v>650</v>
      </c>
      <c r="ER160" s="3">
        <f t="shared" si="1106"/>
        <v>650</v>
      </c>
      <c r="ES160" s="3">
        <f t="shared" si="1106"/>
        <v>650</v>
      </c>
      <c r="ET160" s="3">
        <f t="shared" si="1106"/>
        <v>650</v>
      </c>
      <c r="EU160" s="3">
        <f t="shared" si="1106"/>
        <v>650</v>
      </c>
      <c r="EV160" s="3">
        <f t="shared" si="1106"/>
        <v>650</v>
      </c>
      <c r="EW160" s="3">
        <f t="shared" si="1106"/>
        <v>650</v>
      </c>
      <c r="EX160" s="3">
        <f t="shared" si="1106"/>
        <v>650</v>
      </c>
      <c r="EY160" s="3">
        <f t="shared" si="1106"/>
        <v>650</v>
      </c>
      <c r="EZ160" s="5">
        <v>33</v>
      </c>
      <c r="FA160" s="6">
        <f t="shared" si="845"/>
        <v>0.29629629629629628</v>
      </c>
    </row>
    <row r="161" spans="3:157" x14ac:dyDescent="0.3">
      <c r="C161" s="94"/>
      <c r="D161" s="95"/>
      <c r="E161" s="5">
        <v>32</v>
      </c>
      <c r="F161" s="6">
        <f t="shared" si="816"/>
        <v>0.28703703703703703</v>
      </c>
      <c r="G161" s="3">
        <f t="shared" si="1099"/>
        <v>600</v>
      </c>
      <c r="H161" s="3">
        <f t="shared" si="1099"/>
        <v>600</v>
      </c>
      <c r="I161" s="3">
        <f t="shared" si="1099"/>
        <v>600</v>
      </c>
      <c r="J161" s="3">
        <f t="shared" si="1099"/>
        <v>600</v>
      </c>
      <c r="K161" s="3">
        <f t="shared" si="1099"/>
        <v>600</v>
      </c>
      <c r="L161" s="3">
        <f t="shared" si="1099"/>
        <v>600</v>
      </c>
      <c r="M161" s="3">
        <f t="shared" si="1099"/>
        <v>600</v>
      </c>
      <c r="N161" s="3">
        <f t="shared" si="1099"/>
        <v>600</v>
      </c>
      <c r="O161" s="3">
        <f t="shared" si="1099"/>
        <v>600</v>
      </c>
      <c r="P161" s="3">
        <f t="shared" si="914"/>
        <v>600</v>
      </c>
      <c r="Q161" s="3">
        <f t="shared" si="975"/>
        <v>600</v>
      </c>
      <c r="R161" s="3">
        <f t="shared" si="1017"/>
        <v>600</v>
      </c>
      <c r="S161" s="3">
        <f t="shared" si="1051"/>
        <v>600</v>
      </c>
      <c r="T161" s="3">
        <f t="shared" si="1085"/>
        <v>600</v>
      </c>
      <c r="U161" s="3">
        <f t="shared" si="1071"/>
        <v>610.44744086277467</v>
      </c>
      <c r="V161" s="3">
        <f t="shared" si="1072"/>
        <v>611.0509379185338</v>
      </c>
      <c r="W161" s="3">
        <f t="shared" si="1073"/>
        <v>612.67587754142426</v>
      </c>
      <c r="X161" s="3">
        <f t="shared" si="1086"/>
        <v>650</v>
      </c>
      <c r="Y161" s="3">
        <f t="shared" si="1052"/>
        <v>650</v>
      </c>
      <c r="Z161" s="3">
        <f t="shared" si="1025"/>
        <v>650</v>
      </c>
      <c r="AA161" s="3">
        <f t="shared" si="985"/>
        <v>650</v>
      </c>
      <c r="AB161" s="3">
        <f t="shared" si="915"/>
        <v>650</v>
      </c>
      <c r="AC161" s="3">
        <f t="shared" si="1100"/>
        <v>650</v>
      </c>
      <c r="AD161" s="3">
        <f t="shared" si="1100"/>
        <v>650</v>
      </c>
      <c r="AE161" s="3">
        <f t="shared" si="1100"/>
        <v>650</v>
      </c>
      <c r="AF161" s="3">
        <f t="shared" si="1100"/>
        <v>650</v>
      </c>
      <c r="AG161" s="3">
        <f t="shared" si="1100"/>
        <v>650</v>
      </c>
      <c r="AH161" s="3">
        <f t="shared" si="1100"/>
        <v>650</v>
      </c>
      <c r="AI161" s="3">
        <f t="shared" si="1100"/>
        <v>650</v>
      </c>
      <c r="AJ161" s="3">
        <f t="shared" si="1100"/>
        <v>650</v>
      </c>
      <c r="AK161" s="3">
        <f t="shared" si="1100"/>
        <v>650</v>
      </c>
      <c r="AL161" s="5">
        <v>32</v>
      </c>
      <c r="AM161" s="6">
        <f t="shared" si="820"/>
        <v>0.28703703703703703</v>
      </c>
      <c r="AP161" s="102"/>
      <c r="AQ161" s="101"/>
      <c r="AR161" s="5">
        <v>32</v>
      </c>
      <c r="AS161" s="6">
        <f t="shared" si="821"/>
        <v>0.28703703703703703</v>
      </c>
      <c r="AT161" s="3">
        <f t="shared" si="1101"/>
        <v>600</v>
      </c>
      <c r="AU161" s="3">
        <f t="shared" si="1101"/>
        <v>600</v>
      </c>
      <c r="AV161" s="3">
        <f t="shared" si="1101"/>
        <v>600</v>
      </c>
      <c r="AW161" s="3">
        <f t="shared" si="1101"/>
        <v>600</v>
      </c>
      <c r="AX161" s="3">
        <f t="shared" si="1101"/>
        <v>600</v>
      </c>
      <c r="AY161" s="3">
        <f t="shared" si="1101"/>
        <v>600</v>
      </c>
      <c r="AZ161" s="3">
        <f t="shared" si="1101"/>
        <v>600</v>
      </c>
      <c r="BA161" s="3">
        <f t="shared" si="1101"/>
        <v>600</v>
      </c>
      <c r="BB161" s="3">
        <f t="shared" si="1101"/>
        <v>600</v>
      </c>
      <c r="BC161" s="3">
        <f t="shared" si="916"/>
        <v>600</v>
      </c>
      <c r="BD161" s="3">
        <f t="shared" si="986"/>
        <v>600</v>
      </c>
      <c r="BE161" s="3">
        <f t="shared" si="1026"/>
        <v>600</v>
      </c>
      <c r="BF161" s="3">
        <f t="shared" si="1053"/>
        <v>600</v>
      </c>
      <c r="BG161" s="3">
        <f t="shared" si="1087"/>
        <v>600</v>
      </c>
      <c r="BH161" s="3">
        <f t="shared" si="1077"/>
        <v>-2190278091.7503476</v>
      </c>
      <c r="BI161" s="3">
        <f t="shared" si="1078"/>
        <v>-2192443279.6673813</v>
      </c>
      <c r="BJ161" s="3">
        <f t="shared" si="1079"/>
        <v>-2198273620.8024359</v>
      </c>
      <c r="BK161" s="3">
        <f t="shared" si="1088"/>
        <v>650</v>
      </c>
      <c r="BL161" s="3">
        <f t="shared" si="1054"/>
        <v>650</v>
      </c>
      <c r="BM161" s="3">
        <f t="shared" si="1032"/>
        <v>650</v>
      </c>
      <c r="BN161" s="3">
        <f t="shared" si="994"/>
        <v>650</v>
      </c>
      <c r="BO161" s="3">
        <f t="shared" si="928"/>
        <v>650</v>
      </c>
      <c r="BP161" s="3">
        <f t="shared" si="1102"/>
        <v>650</v>
      </c>
      <c r="BQ161" s="3">
        <f t="shared" si="1102"/>
        <v>650</v>
      </c>
      <c r="BR161" s="3">
        <f t="shared" si="1102"/>
        <v>650</v>
      </c>
      <c r="BS161" s="3">
        <f t="shared" si="1102"/>
        <v>650</v>
      </c>
      <c r="BT161" s="3">
        <f t="shared" si="1102"/>
        <v>650</v>
      </c>
      <c r="BU161" s="3">
        <f t="shared" si="1102"/>
        <v>650</v>
      </c>
      <c r="BV161" s="3">
        <f t="shared" si="1102"/>
        <v>650</v>
      </c>
      <c r="BW161" s="3">
        <f t="shared" si="1102"/>
        <v>650</v>
      </c>
      <c r="BX161" s="3">
        <f t="shared" si="1102"/>
        <v>650</v>
      </c>
      <c r="BY161" s="5">
        <v>32</v>
      </c>
      <c r="BZ161" s="6">
        <f t="shared" si="836"/>
        <v>0.28703703703703703</v>
      </c>
      <c r="CC161" s="94"/>
      <c r="CD161" s="95"/>
      <c r="CE161" s="5">
        <v>32</v>
      </c>
      <c r="CF161" s="6">
        <f t="shared" si="837"/>
        <v>0.28703703703703703</v>
      </c>
      <c r="CG161" s="3">
        <f t="shared" si="1103"/>
        <v>600</v>
      </c>
      <c r="CH161" s="3">
        <f t="shared" si="1103"/>
        <v>600</v>
      </c>
      <c r="CI161" s="3">
        <f t="shared" si="1103"/>
        <v>600</v>
      </c>
      <c r="CJ161" s="3">
        <f t="shared" si="1103"/>
        <v>600</v>
      </c>
      <c r="CK161" s="3">
        <f t="shared" si="1103"/>
        <v>600</v>
      </c>
      <c r="CL161" s="3">
        <f t="shared" si="1103"/>
        <v>600</v>
      </c>
      <c r="CM161" s="3">
        <f t="shared" si="1103"/>
        <v>600</v>
      </c>
      <c r="CN161" s="3">
        <f t="shared" si="1103"/>
        <v>600</v>
      </c>
      <c r="CO161" s="3">
        <f t="shared" si="1103"/>
        <v>600</v>
      </c>
      <c r="CP161" s="3">
        <f t="shared" si="929"/>
        <v>600</v>
      </c>
      <c r="CQ161" s="3">
        <f t="shared" si="995"/>
        <v>600</v>
      </c>
      <c r="CR161" s="3">
        <f t="shared" si="1033"/>
        <v>600</v>
      </c>
      <c r="CS161" s="3">
        <f t="shared" si="1055"/>
        <v>600</v>
      </c>
      <c r="CT161" s="3">
        <f t="shared" si="1089"/>
        <v>600</v>
      </c>
      <c r="CU161" s="3">
        <f t="shared" si="1090"/>
        <v>0.11667843062533659</v>
      </c>
      <c r="CV161" s="3">
        <f t="shared" si="1091"/>
        <v>0.11667843062533659</v>
      </c>
      <c r="CW161" s="3">
        <f t="shared" si="1092"/>
        <v>0.11667843062533659</v>
      </c>
      <c r="CX161" s="3">
        <f t="shared" si="1093"/>
        <v>650</v>
      </c>
      <c r="CY161" s="3">
        <f t="shared" si="1061"/>
        <v>650</v>
      </c>
      <c r="CZ161" s="3">
        <f t="shared" si="1041"/>
        <v>650</v>
      </c>
      <c r="DA161" s="3">
        <f t="shared" si="1005"/>
        <v>650</v>
      </c>
      <c r="DB161" s="3">
        <f t="shared" si="941"/>
        <v>650</v>
      </c>
      <c r="DC161" s="3">
        <f t="shared" si="1104"/>
        <v>650</v>
      </c>
      <c r="DD161" s="3">
        <f t="shared" si="1104"/>
        <v>650</v>
      </c>
      <c r="DE161" s="3">
        <f t="shared" si="1104"/>
        <v>650</v>
      </c>
      <c r="DF161" s="3">
        <f t="shared" si="1104"/>
        <v>650</v>
      </c>
      <c r="DG161" s="3">
        <f t="shared" si="1104"/>
        <v>650</v>
      </c>
      <c r="DH161" s="3">
        <f t="shared" si="1104"/>
        <v>650</v>
      </c>
      <c r="DI161" s="3">
        <f t="shared" si="1104"/>
        <v>650</v>
      </c>
      <c r="DJ161" s="3">
        <f t="shared" si="1104"/>
        <v>650</v>
      </c>
      <c r="DK161" s="3">
        <f t="shared" si="1104"/>
        <v>650</v>
      </c>
      <c r="DL161" s="5">
        <v>32</v>
      </c>
      <c r="DM161" s="6">
        <f t="shared" si="840"/>
        <v>0.28703703703703703</v>
      </c>
      <c r="DQ161" s="94"/>
      <c r="DR161" s="95"/>
      <c r="DS161" s="5">
        <v>32</v>
      </c>
      <c r="DT161" s="6">
        <f t="shared" si="841"/>
        <v>0.28703703703703703</v>
      </c>
      <c r="DU161" s="3">
        <f t="shared" si="1105"/>
        <v>600</v>
      </c>
      <c r="DV161" s="3">
        <f t="shared" si="1105"/>
        <v>600</v>
      </c>
      <c r="DW161" s="3">
        <f t="shared" si="1105"/>
        <v>600</v>
      </c>
      <c r="DX161" s="3">
        <f t="shared" si="1105"/>
        <v>600</v>
      </c>
      <c r="DY161" s="3">
        <f t="shared" si="1105"/>
        <v>600</v>
      </c>
      <c r="DZ161" s="3">
        <f t="shared" si="1105"/>
        <v>600</v>
      </c>
      <c r="EA161" s="3">
        <f t="shared" si="1105"/>
        <v>600</v>
      </c>
      <c r="EB161" s="3">
        <f t="shared" si="1105"/>
        <v>600</v>
      </c>
      <c r="EC161" s="3">
        <f t="shared" si="1105"/>
        <v>600</v>
      </c>
      <c r="ED161" s="3">
        <f t="shared" si="942"/>
        <v>600</v>
      </c>
      <c r="EE161" s="3">
        <f t="shared" si="1006"/>
        <v>600</v>
      </c>
      <c r="EF161" s="3">
        <f t="shared" si="1042"/>
        <v>600</v>
      </c>
      <c r="EG161" s="3">
        <f t="shared" si="1062"/>
        <v>600</v>
      </c>
      <c r="EH161" s="3">
        <f t="shared" si="1094"/>
        <v>600</v>
      </c>
      <c r="EI161" s="3">
        <f t="shared" si="1095"/>
        <v>539.22376605923739</v>
      </c>
      <c r="EJ161" s="3">
        <f t="shared" si="1096"/>
        <v>539.75689973006854</v>
      </c>
      <c r="EK161" s="3">
        <f t="shared" si="1097"/>
        <v>541.19222522369068</v>
      </c>
      <c r="EL161" s="3">
        <f t="shared" si="1098"/>
        <v>650</v>
      </c>
      <c r="EM161" s="3">
        <f t="shared" si="1068"/>
        <v>650</v>
      </c>
      <c r="EN161" s="3">
        <f t="shared" si="1050"/>
        <v>650</v>
      </c>
      <c r="EO161" s="3">
        <f t="shared" si="1016"/>
        <v>650</v>
      </c>
      <c r="EP161" s="3">
        <f t="shared" si="954"/>
        <v>650</v>
      </c>
      <c r="EQ161" s="3">
        <f t="shared" si="1106"/>
        <v>650</v>
      </c>
      <c r="ER161" s="3">
        <f t="shared" si="1106"/>
        <v>650</v>
      </c>
      <c r="ES161" s="3">
        <f t="shared" si="1106"/>
        <v>650</v>
      </c>
      <c r="ET161" s="3">
        <f t="shared" si="1106"/>
        <v>650</v>
      </c>
      <c r="EU161" s="3">
        <f t="shared" si="1106"/>
        <v>650</v>
      </c>
      <c r="EV161" s="3">
        <f t="shared" si="1106"/>
        <v>650</v>
      </c>
      <c r="EW161" s="3">
        <f t="shared" si="1106"/>
        <v>650</v>
      </c>
      <c r="EX161" s="3">
        <f t="shared" si="1106"/>
        <v>650</v>
      </c>
      <c r="EY161" s="3">
        <f t="shared" si="1106"/>
        <v>650</v>
      </c>
      <c r="EZ161" s="5">
        <v>32</v>
      </c>
      <c r="FA161" s="6">
        <f t="shared" si="845"/>
        <v>0.28703703703703703</v>
      </c>
    </row>
    <row r="162" spans="3:157" x14ac:dyDescent="0.3">
      <c r="C162" s="94"/>
      <c r="D162" s="95"/>
      <c r="E162" s="5">
        <v>31</v>
      </c>
      <c r="F162" s="6">
        <f t="shared" ref="F162:F191" si="1107">$B$6*(E162-1)</f>
        <v>0.27777777777777779</v>
      </c>
      <c r="G162" s="3">
        <f t="shared" si="1099"/>
        <v>600</v>
      </c>
      <c r="H162" s="3">
        <f t="shared" si="1099"/>
        <v>600</v>
      </c>
      <c r="I162" s="3">
        <f t="shared" si="1099"/>
        <v>600</v>
      </c>
      <c r="J162" s="3">
        <f t="shared" si="1099"/>
        <v>600</v>
      </c>
      <c r="K162" s="3">
        <f t="shared" si="1099"/>
        <v>600</v>
      </c>
      <c r="L162" s="3">
        <f t="shared" si="1099"/>
        <v>600</v>
      </c>
      <c r="M162" s="3">
        <f t="shared" si="1099"/>
        <v>600</v>
      </c>
      <c r="N162" s="3">
        <f t="shared" si="1099"/>
        <v>600</v>
      </c>
      <c r="O162" s="3">
        <f t="shared" si="1099"/>
        <v>600</v>
      </c>
      <c r="P162" s="3">
        <f t="shared" si="914"/>
        <v>600</v>
      </c>
      <c r="Q162" s="3">
        <f t="shared" si="975"/>
        <v>600</v>
      </c>
      <c r="R162" s="3">
        <f t="shared" si="1017"/>
        <v>600</v>
      </c>
      <c r="S162" s="3">
        <f t="shared" si="1051"/>
        <v>600</v>
      </c>
      <c r="T162" s="3">
        <f t="shared" si="1085"/>
        <v>600</v>
      </c>
      <c r="U162" s="3">
        <f t="shared" si="1071"/>
        <v>610.42708940988382</v>
      </c>
      <c r="V162" s="3">
        <f t="shared" si="1072"/>
        <v>611.03014332954092</v>
      </c>
      <c r="W162" s="3">
        <f t="shared" si="1073"/>
        <v>612.6552434294656</v>
      </c>
      <c r="X162" s="3">
        <f t="shared" si="1086"/>
        <v>650</v>
      </c>
      <c r="Y162" s="3">
        <f t="shared" si="1052"/>
        <v>650</v>
      </c>
      <c r="Z162" s="3">
        <f t="shared" si="1025"/>
        <v>650</v>
      </c>
      <c r="AA162" s="3">
        <f t="shared" si="985"/>
        <v>650</v>
      </c>
      <c r="AB162" s="3">
        <f t="shared" si="915"/>
        <v>650</v>
      </c>
      <c r="AC162" s="3">
        <f t="shared" si="1100"/>
        <v>650</v>
      </c>
      <c r="AD162" s="3">
        <f t="shared" si="1100"/>
        <v>650</v>
      </c>
      <c r="AE162" s="3">
        <f t="shared" si="1100"/>
        <v>650</v>
      </c>
      <c r="AF162" s="3">
        <f t="shared" si="1100"/>
        <v>650</v>
      </c>
      <c r="AG162" s="3">
        <f t="shared" si="1100"/>
        <v>650</v>
      </c>
      <c r="AH162" s="3">
        <f t="shared" si="1100"/>
        <v>650</v>
      </c>
      <c r="AI162" s="3">
        <f t="shared" si="1100"/>
        <v>650</v>
      </c>
      <c r="AJ162" s="3">
        <f t="shared" si="1100"/>
        <v>650</v>
      </c>
      <c r="AK162" s="3">
        <f t="shared" si="1100"/>
        <v>650</v>
      </c>
      <c r="AL162" s="5">
        <v>31</v>
      </c>
      <c r="AM162" s="6">
        <f t="shared" ref="AM162:AM191" si="1108">$B$6*(AL162-1)</f>
        <v>0.27777777777777779</v>
      </c>
      <c r="AP162" s="102"/>
      <c r="AQ162" s="101"/>
      <c r="AR162" s="5">
        <v>31</v>
      </c>
      <c r="AS162" s="6">
        <f t="shared" ref="AS162:AS191" si="1109">$B$6*(AR162-1)</f>
        <v>0.27777777777777779</v>
      </c>
      <c r="AT162" s="3">
        <f t="shared" si="1101"/>
        <v>600</v>
      </c>
      <c r="AU162" s="3">
        <f t="shared" si="1101"/>
        <v>600</v>
      </c>
      <c r="AV162" s="3">
        <f t="shared" si="1101"/>
        <v>600</v>
      </c>
      <c r="AW162" s="3">
        <f t="shared" si="1101"/>
        <v>600</v>
      </c>
      <c r="AX162" s="3">
        <f t="shared" si="1101"/>
        <v>600</v>
      </c>
      <c r="AY162" s="3">
        <f t="shared" si="1101"/>
        <v>600</v>
      </c>
      <c r="AZ162" s="3">
        <f t="shared" si="1101"/>
        <v>600</v>
      </c>
      <c r="BA162" s="3">
        <f t="shared" si="1101"/>
        <v>600</v>
      </c>
      <c r="BB162" s="3">
        <f t="shared" si="1101"/>
        <v>600</v>
      </c>
      <c r="BC162" s="3">
        <f t="shared" si="916"/>
        <v>600</v>
      </c>
      <c r="BD162" s="3">
        <f t="shared" si="986"/>
        <v>600</v>
      </c>
      <c r="BE162" s="3">
        <f t="shared" si="1026"/>
        <v>600</v>
      </c>
      <c r="BF162" s="3">
        <f t="shared" si="1053"/>
        <v>600</v>
      </c>
      <c r="BG162" s="3">
        <f t="shared" si="1087"/>
        <v>600</v>
      </c>
      <c r="BH162" s="3">
        <f t="shared" si="1077"/>
        <v>-2190207557.1647806</v>
      </c>
      <c r="BI162" s="3">
        <f t="shared" si="1078"/>
        <v>-2192371209.2493863</v>
      </c>
      <c r="BJ162" s="3">
        <f t="shared" si="1079"/>
        <v>-2198202106.5698471</v>
      </c>
      <c r="BK162" s="3">
        <f t="shared" si="1088"/>
        <v>650</v>
      </c>
      <c r="BL162" s="3">
        <f t="shared" si="1054"/>
        <v>650</v>
      </c>
      <c r="BM162" s="3">
        <f t="shared" si="1032"/>
        <v>650</v>
      </c>
      <c r="BN162" s="3">
        <f t="shared" si="994"/>
        <v>650</v>
      </c>
      <c r="BO162" s="3">
        <f t="shared" si="928"/>
        <v>650</v>
      </c>
      <c r="BP162" s="3">
        <f t="shared" si="1102"/>
        <v>650</v>
      </c>
      <c r="BQ162" s="3">
        <f t="shared" si="1102"/>
        <v>650</v>
      </c>
      <c r="BR162" s="3">
        <f t="shared" si="1102"/>
        <v>650</v>
      </c>
      <c r="BS162" s="3">
        <f t="shared" si="1102"/>
        <v>650</v>
      </c>
      <c r="BT162" s="3">
        <f t="shared" si="1102"/>
        <v>650</v>
      </c>
      <c r="BU162" s="3">
        <f t="shared" si="1102"/>
        <v>650</v>
      </c>
      <c r="BV162" s="3">
        <f t="shared" si="1102"/>
        <v>650</v>
      </c>
      <c r="BW162" s="3">
        <f t="shared" si="1102"/>
        <v>650</v>
      </c>
      <c r="BX162" s="3">
        <f t="shared" si="1102"/>
        <v>650</v>
      </c>
      <c r="BY162" s="5">
        <v>31</v>
      </c>
      <c r="BZ162" s="6">
        <f t="shared" ref="BZ162:BZ191" si="1110">$B$6*(BY162-1)</f>
        <v>0.27777777777777779</v>
      </c>
      <c r="CC162" s="94"/>
      <c r="CD162" s="95"/>
      <c r="CE162" s="5">
        <v>31</v>
      </c>
      <c r="CF162" s="6">
        <f t="shared" ref="CF162:CF191" si="1111">$B$6*(CE162-1)</f>
        <v>0.27777777777777779</v>
      </c>
      <c r="CG162" s="3">
        <f t="shared" si="1103"/>
        <v>600</v>
      </c>
      <c r="CH162" s="3">
        <f t="shared" si="1103"/>
        <v>600</v>
      </c>
      <c r="CI162" s="3">
        <f t="shared" si="1103"/>
        <v>600</v>
      </c>
      <c r="CJ162" s="3">
        <f t="shared" si="1103"/>
        <v>600</v>
      </c>
      <c r="CK162" s="3">
        <f t="shared" si="1103"/>
        <v>600</v>
      </c>
      <c r="CL162" s="3">
        <f t="shared" si="1103"/>
        <v>600</v>
      </c>
      <c r="CM162" s="3">
        <f t="shared" si="1103"/>
        <v>600</v>
      </c>
      <c r="CN162" s="3">
        <f t="shared" si="1103"/>
        <v>600</v>
      </c>
      <c r="CO162" s="3">
        <f t="shared" si="1103"/>
        <v>600</v>
      </c>
      <c r="CP162" s="3">
        <f t="shared" si="929"/>
        <v>600</v>
      </c>
      <c r="CQ162" s="3">
        <f t="shared" si="995"/>
        <v>600</v>
      </c>
      <c r="CR162" s="3">
        <f t="shared" si="1033"/>
        <v>600</v>
      </c>
      <c r="CS162" s="3">
        <f t="shared" si="1055"/>
        <v>600</v>
      </c>
      <c r="CT162" s="3">
        <f t="shared" si="1089"/>
        <v>600</v>
      </c>
      <c r="CU162" s="3">
        <f t="shared" si="1090"/>
        <v>0.11667843062533659</v>
      </c>
      <c r="CV162" s="3">
        <f t="shared" si="1091"/>
        <v>0.11667843062533659</v>
      </c>
      <c r="CW162" s="3">
        <f t="shared" si="1092"/>
        <v>0.11667843062533659</v>
      </c>
      <c r="CX162" s="3">
        <f t="shared" si="1093"/>
        <v>650</v>
      </c>
      <c r="CY162" s="3">
        <f t="shared" si="1061"/>
        <v>650</v>
      </c>
      <c r="CZ162" s="3">
        <f t="shared" si="1041"/>
        <v>650</v>
      </c>
      <c r="DA162" s="3">
        <f t="shared" si="1005"/>
        <v>650</v>
      </c>
      <c r="DB162" s="3">
        <f t="shared" si="941"/>
        <v>650</v>
      </c>
      <c r="DC162" s="3">
        <f t="shared" si="1104"/>
        <v>650</v>
      </c>
      <c r="DD162" s="3">
        <f t="shared" si="1104"/>
        <v>650</v>
      </c>
      <c r="DE162" s="3">
        <f t="shared" si="1104"/>
        <v>650</v>
      </c>
      <c r="DF162" s="3">
        <f t="shared" si="1104"/>
        <v>650</v>
      </c>
      <c r="DG162" s="3">
        <f t="shared" si="1104"/>
        <v>650</v>
      </c>
      <c r="DH162" s="3">
        <f t="shared" si="1104"/>
        <v>650</v>
      </c>
      <c r="DI162" s="3">
        <f t="shared" si="1104"/>
        <v>650</v>
      </c>
      <c r="DJ162" s="3">
        <f t="shared" si="1104"/>
        <v>650</v>
      </c>
      <c r="DK162" s="3">
        <f t="shared" si="1104"/>
        <v>650</v>
      </c>
      <c r="DL162" s="5">
        <v>31</v>
      </c>
      <c r="DM162" s="6">
        <f t="shared" ref="DM162:DM191" si="1112">$B$6*(DL162-1)</f>
        <v>0.27777777777777779</v>
      </c>
      <c r="DQ162" s="94"/>
      <c r="DR162" s="95"/>
      <c r="DS162" s="5">
        <v>31</v>
      </c>
      <c r="DT162" s="6">
        <f t="shared" ref="DT162:DT191" si="1113">$B$6*(DS162-1)</f>
        <v>0.27777777777777779</v>
      </c>
      <c r="DU162" s="3">
        <f t="shared" si="1105"/>
        <v>600</v>
      </c>
      <c r="DV162" s="3">
        <f t="shared" si="1105"/>
        <v>600</v>
      </c>
      <c r="DW162" s="3">
        <f t="shared" si="1105"/>
        <v>600</v>
      </c>
      <c r="DX162" s="3">
        <f t="shared" si="1105"/>
        <v>600</v>
      </c>
      <c r="DY162" s="3">
        <f t="shared" si="1105"/>
        <v>600</v>
      </c>
      <c r="DZ162" s="3">
        <f t="shared" si="1105"/>
        <v>600</v>
      </c>
      <c r="EA162" s="3">
        <f t="shared" si="1105"/>
        <v>600</v>
      </c>
      <c r="EB162" s="3">
        <f t="shared" si="1105"/>
        <v>600</v>
      </c>
      <c r="EC162" s="3">
        <f t="shared" si="1105"/>
        <v>600</v>
      </c>
      <c r="ED162" s="3">
        <f t="shared" si="942"/>
        <v>600</v>
      </c>
      <c r="EE162" s="3">
        <f t="shared" si="1006"/>
        <v>600</v>
      </c>
      <c r="EF162" s="3">
        <f t="shared" si="1042"/>
        <v>600</v>
      </c>
      <c r="EG162" s="3">
        <f t="shared" si="1062"/>
        <v>600</v>
      </c>
      <c r="EH162" s="3">
        <f t="shared" si="1094"/>
        <v>600</v>
      </c>
      <c r="EI162" s="3">
        <f t="shared" si="1095"/>
        <v>539.20473674009384</v>
      </c>
      <c r="EJ162" s="3">
        <f t="shared" si="1096"/>
        <v>539.73745606319483</v>
      </c>
      <c r="EK162" s="3">
        <f t="shared" si="1097"/>
        <v>541.17293160844804</v>
      </c>
      <c r="EL162" s="3">
        <f t="shared" si="1098"/>
        <v>650</v>
      </c>
      <c r="EM162" s="3">
        <f t="shared" si="1068"/>
        <v>650</v>
      </c>
      <c r="EN162" s="3">
        <f t="shared" si="1050"/>
        <v>650</v>
      </c>
      <c r="EO162" s="3">
        <f t="shared" si="1016"/>
        <v>650</v>
      </c>
      <c r="EP162" s="3">
        <f t="shared" si="954"/>
        <v>650</v>
      </c>
      <c r="EQ162" s="3">
        <f t="shared" si="1106"/>
        <v>650</v>
      </c>
      <c r="ER162" s="3">
        <f t="shared" si="1106"/>
        <v>650</v>
      </c>
      <c r="ES162" s="3">
        <f t="shared" si="1106"/>
        <v>650</v>
      </c>
      <c r="ET162" s="3">
        <f t="shared" si="1106"/>
        <v>650</v>
      </c>
      <c r="EU162" s="3">
        <f t="shared" si="1106"/>
        <v>650</v>
      </c>
      <c r="EV162" s="3">
        <f t="shared" si="1106"/>
        <v>650</v>
      </c>
      <c r="EW162" s="3">
        <f t="shared" si="1106"/>
        <v>650</v>
      </c>
      <c r="EX162" s="3">
        <f t="shared" si="1106"/>
        <v>650</v>
      </c>
      <c r="EY162" s="3">
        <f t="shared" si="1106"/>
        <v>650</v>
      </c>
      <c r="EZ162" s="5">
        <v>31</v>
      </c>
      <c r="FA162" s="6">
        <f t="shared" ref="FA162:FA191" si="1114">$B$6*(EZ162-1)</f>
        <v>0.27777777777777779</v>
      </c>
    </row>
    <row r="163" spans="3:157" x14ac:dyDescent="0.3">
      <c r="C163" s="94"/>
      <c r="D163" s="95"/>
      <c r="E163" s="5">
        <v>30</v>
      </c>
      <c r="F163" s="6">
        <f t="shared" si="1107"/>
        <v>0.26851851851851849</v>
      </c>
      <c r="G163" s="3">
        <f t="shared" si="1099"/>
        <v>600</v>
      </c>
      <c r="H163" s="3">
        <f t="shared" si="1099"/>
        <v>600</v>
      </c>
      <c r="I163" s="3">
        <f t="shared" si="1099"/>
        <v>600</v>
      </c>
      <c r="J163" s="3">
        <f t="shared" si="1099"/>
        <v>600</v>
      </c>
      <c r="K163" s="3">
        <f t="shared" si="1099"/>
        <v>600</v>
      </c>
      <c r="L163" s="3">
        <f t="shared" si="1099"/>
        <v>600</v>
      </c>
      <c r="M163" s="3">
        <f t="shared" si="1099"/>
        <v>600</v>
      </c>
      <c r="N163" s="3">
        <f t="shared" si="1099"/>
        <v>600</v>
      </c>
      <c r="O163" s="3">
        <f t="shared" si="1099"/>
        <v>600</v>
      </c>
      <c r="P163" s="3">
        <f t="shared" si="914"/>
        <v>600</v>
      </c>
      <c r="Q163" s="3">
        <f t="shared" si="975"/>
        <v>600</v>
      </c>
      <c r="R163" s="3">
        <f t="shared" si="1017"/>
        <v>600</v>
      </c>
      <c r="S163" s="3">
        <f t="shared" si="1051"/>
        <v>600</v>
      </c>
      <c r="T163" s="3">
        <f t="shared" si="1085"/>
        <v>600</v>
      </c>
      <c r="U163" s="3">
        <f t="shared" si="1071"/>
        <v>610.41575797749965</v>
      </c>
      <c r="V163" s="3">
        <f t="shared" si="1072"/>
        <v>611.01856516456223</v>
      </c>
      <c r="W163" s="3">
        <f t="shared" si="1073"/>
        <v>612.64375461607619</v>
      </c>
      <c r="X163" s="3">
        <f t="shared" si="1086"/>
        <v>650</v>
      </c>
      <c r="Y163" s="3">
        <f t="shared" si="1052"/>
        <v>650</v>
      </c>
      <c r="Z163" s="3">
        <f t="shared" si="1025"/>
        <v>650</v>
      </c>
      <c r="AA163" s="3">
        <f t="shared" si="985"/>
        <v>650</v>
      </c>
      <c r="AB163" s="3">
        <f t="shared" si="915"/>
        <v>650</v>
      </c>
      <c r="AC163" s="3">
        <f t="shared" si="1100"/>
        <v>650</v>
      </c>
      <c r="AD163" s="3">
        <f t="shared" si="1100"/>
        <v>650</v>
      </c>
      <c r="AE163" s="3">
        <f t="shared" si="1100"/>
        <v>650</v>
      </c>
      <c r="AF163" s="3">
        <f t="shared" si="1100"/>
        <v>650</v>
      </c>
      <c r="AG163" s="3">
        <f t="shared" si="1100"/>
        <v>650</v>
      </c>
      <c r="AH163" s="3">
        <f t="shared" si="1100"/>
        <v>650</v>
      </c>
      <c r="AI163" s="3">
        <f t="shared" si="1100"/>
        <v>650</v>
      </c>
      <c r="AJ163" s="3">
        <f t="shared" si="1100"/>
        <v>650</v>
      </c>
      <c r="AK163" s="3">
        <f t="shared" si="1100"/>
        <v>650</v>
      </c>
      <c r="AL163" s="5">
        <v>30</v>
      </c>
      <c r="AM163" s="6">
        <f t="shared" si="1108"/>
        <v>0.26851851851851849</v>
      </c>
      <c r="AP163" s="102"/>
      <c r="AQ163" s="101"/>
      <c r="AR163" s="5">
        <v>30</v>
      </c>
      <c r="AS163" s="6">
        <f t="shared" si="1109"/>
        <v>0.26851851851851849</v>
      </c>
      <c r="AT163" s="3">
        <f t="shared" si="1101"/>
        <v>600</v>
      </c>
      <c r="AU163" s="3">
        <f t="shared" si="1101"/>
        <v>600</v>
      </c>
      <c r="AV163" s="3">
        <f t="shared" si="1101"/>
        <v>600</v>
      </c>
      <c r="AW163" s="3">
        <f t="shared" si="1101"/>
        <v>600</v>
      </c>
      <c r="AX163" s="3">
        <f t="shared" si="1101"/>
        <v>600</v>
      </c>
      <c r="AY163" s="3">
        <f t="shared" si="1101"/>
        <v>600</v>
      </c>
      <c r="AZ163" s="3">
        <f t="shared" si="1101"/>
        <v>600</v>
      </c>
      <c r="BA163" s="3">
        <f t="shared" si="1101"/>
        <v>600</v>
      </c>
      <c r="BB163" s="3">
        <f t="shared" si="1101"/>
        <v>600</v>
      </c>
      <c r="BC163" s="3">
        <f t="shared" si="916"/>
        <v>600</v>
      </c>
      <c r="BD163" s="3">
        <f t="shared" si="986"/>
        <v>600</v>
      </c>
      <c r="BE163" s="3">
        <f t="shared" si="1026"/>
        <v>600</v>
      </c>
      <c r="BF163" s="3">
        <f t="shared" si="1053"/>
        <v>600</v>
      </c>
      <c r="BG163" s="3">
        <f t="shared" si="1087"/>
        <v>600</v>
      </c>
      <c r="BH163" s="3">
        <f t="shared" si="1077"/>
        <v>-2190168271.9761958</v>
      </c>
      <c r="BI163" s="3">
        <f t="shared" si="1078"/>
        <v>-2192331068.6582212</v>
      </c>
      <c r="BJ163" s="3">
        <f t="shared" si="1079"/>
        <v>-2198162275.7536435</v>
      </c>
      <c r="BK163" s="3">
        <f t="shared" si="1088"/>
        <v>650</v>
      </c>
      <c r="BL163" s="3">
        <f t="shared" si="1054"/>
        <v>650</v>
      </c>
      <c r="BM163" s="3">
        <f t="shared" si="1032"/>
        <v>650</v>
      </c>
      <c r="BN163" s="3">
        <f t="shared" si="994"/>
        <v>650</v>
      </c>
      <c r="BO163" s="3">
        <f t="shared" si="928"/>
        <v>650</v>
      </c>
      <c r="BP163" s="3">
        <f t="shared" si="1102"/>
        <v>650</v>
      </c>
      <c r="BQ163" s="3">
        <f t="shared" si="1102"/>
        <v>650</v>
      </c>
      <c r="BR163" s="3">
        <f t="shared" si="1102"/>
        <v>650</v>
      </c>
      <c r="BS163" s="3">
        <f t="shared" si="1102"/>
        <v>650</v>
      </c>
      <c r="BT163" s="3">
        <f t="shared" si="1102"/>
        <v>650</v>
      </c>
      <c r="BU163" s="3">
        <f t="shared" si="1102"/>
        <v>650</v>
      </c>
      <c r="BV163" s="3">
        <f t="shared" si="1102"/>
        <v>650</v>
      </c>
      <c r="BW163" s="3">
        <f t="shared" si="1102"/>
        <v>650</v>
      </c>
      <c r="BX163" s="3">
        <f t="shared" si="1102"/>
        <v>650</v>
      </c>
      <c r="BY163" s="5">
        <v>30</v>
      </c>
      <c r="BZ163" s="6">
        <f t="shared" si="1110"/>
        <v>0.26851851851851849</v>
      </c>
      <c r="CC163" s="94"/>
      <c r="CD163" s="95"/>
      <c r="CE163" s="5">
        <v>30</v>
      </c>
      <c r="CF163" s="6">
        <f t="shared" si="1111"/>
        <v>0.26851851851851849</v>
      </c>
      <c r="CG163" s="3">
        <f t="shared" si="1103"/>
        <v>600</v>
      </c>
      <c r="CH163" s="3">
        <f t="shared" si="1103"/>
        <v>600</v>
      </c>
      <c r="CI163" s="3">
        <f t="shared" si="1103"/>
        <v>600</v>
      </c>
      <c r="CJ163" s="3">
        <f t="shared" si="1103"/>
        <v>600</v>
      </c>
      <c r="CK163" s="3">
        <f t="shared" si="1103"/>
        <v>600</v>
      </c>
      <c r="CL163" s="3">
        <f t="shared" si="1103"/>
        <v>600</v>
      </c>
      <c r="CM163" s="3">
        <f t="shared" si="1103"/>
        <v>600</v>
      </c>
      <c r="CN163" s="3">
        <f t="shared" si="1103"/>
        <v>600</v>
      </c>
      <c r="CO163" s="3">
        <f t="shared" si="1103"/>
        <v>600</v>
      </c>
      <c r="CP163" s="3">
        <f t="shared" si="929"/>
        <v>600</v>
      </c>
      <c r="CQ163" s="3">
        <f t="shared" si="995"/>
        <v>600</v>
      </c>
      <c r="CR163" s="3">
        <f t="shared" si="1033"/>
        <v>600</v>
      </c>
      <c r="CS163" s="3">
        <f t="shared" si="1055"/>
        <v>600</v>
      </c>
      <c r="CT163" s="3">
        <f t="shared" si="1089"/>
        <v>600</v>
      </c>
      <c r="CU163" s="3">
        <f t="shared" si="1090"/>
        <v>0.11667843062533659</v>
      </c>
      <c r="CV163" s="3">
        <f t="shared" si="1091"/>
        <v>0.11667843062533659</v>
      </c>
      <c r="CW163" s="3">
        <f t="shared" si="1092"/>
        <v>0.11667843062533659</v>
      </c>
      <c r="CX163" s="3">
        <f t="shared" si="1093"/>
        <v>650</v>
      </c>
      <c r="CY163" s="3">
        <f t="shared" si="1061"/>
        <v>650</v>
      </c>
      <c r="CZ163" s="3">
        <f t="shared" si="1041"/>
        <v>650</v>
      </c>
      <c r="DA163" s="3">
        <f t="shared" si="1005"/>
        <v>650</v>
      </c>
      <c r="DB163" s="3">
        <f t="shared" si="941"/>
        <v>650</v>
      </c>
      <c r="DC163" s="3">
        <f t="shared" si="1104"/>
        <v>650</v>
      </c>
      <c r="DD163" s="3">
        <f t="shared" si="1104"/>
        <v>650</v>
      </c>
      <c r="DE163" s="3">
        <f t="shared" si="1104"/>
        <v>650</v>
      </c>
      <c r="DF163" s="3">
        <f t="shared" si="1104"/>
        <v>650</v>
      </c>
      <c r="DG163" s="3">
        <f t="shared" si="1104"/>
        <v>650</v>
      </c>
      <c r="DH163" s="3">
        <f t="shared" si="1104"/>
        <v>650</v>
      </c>
      <c r="DI163" s="3">
        <f t="shared" si="1104"/>
        <v>650</v>
      </c>
      <c r="DJ163" s="3">
        <f t="shared" si="1104"/>
        <v>650</v>
      </c>
      <c r="DK163" s="3">
        <f t="shared" si="1104"/>
        <v>650</v>
      </c>
      <c r="DL163" s="5">
        <v>30</v>
      </c>
      <c r="DM163" s="6">
        <f t="shared" si="1112"/>
        <v>0.26851851851851849</v>
      </c>
      <c r="DQ163" s="94"/>
      <c r="DR163" s="95"/>
      <c r="DS163" s="5">
        <v>30</v>
      </c>
      <c r="DT163" s="6">
        <f t="shared" si="1113"/>
        <v>0.26851851851851849</v>
      </c>
      <c r="DU163" s="3">
        <f t="shared" si="1105"/>
        <v>600</v>
      </c>
      <c r="DV163" s="3">
        <f t="shared" si="1105"/>
        <v>600</v>
      </c>
      <c r="DW163" s="3">
        <f t="shared" si="1105"/>
        <v>600</v>
      </c>
      <c r="DX163" s="3">
        <f t="shared" si="1105"/>
        <v>600</v>
      </c>
      <c r="DY163" s="3">
        <f t="shared" si="1105"/>
        <v>600</v>
      </c>
      <c r="DZ163" s="3">
        <f t="shared" si="1105"/>
        <v>600</v>
      </c>
      <c r="EA163" s="3">
        <f t="shared" si="1105"/>
        <v>600</v>
      </c>
      <c r="EB163" s="3">
        <f t="shared" si="1105"/>
        <v>600</v>
      </c>
      <c r="EC163" s="3">
        <f t="shared" si="1105"/>
        <v>600</v>
      </c>
      <c r="ED163" s="3">
        <f t="shared" si="942"/>
        <v>600</v>
      </c>
      <c r="EE163" s="3">
        <f t="shared" si="1006"/>
        <v>600</v>
      </c>
      <c r="EF163" s="3">
        <f t="shared" si="1042"/>
        <v>600</v>
      </c>
      <c r="EG163" s="3">
        <f t="shared" si="1062"/>
        <v>600</v>
      </c>
      <c r="EH163" s="3">
        <f t="shared" si="1094"/>
        <v>600</v>
      </c>
      <c r="EI163" s="3">
        <f t="shared" si="1095"/>
        <v>539.19397335676229</v>
      </c>
      <c r="EJ163" s="3">
        <f t="shared" si="1096"/>
        <v>539.72645831606837</v>
      </c>
      <c r="EK163" s="3">
        <f t="shared" si="1097"/>
        <v>541.16201873368141</v>
      </c>
      <c r="EL163" s="3">
        <f t="shared" si="1098"/>
        <v>650</v>
      </c>
      <c r="EM163" s="3">
        <f t="shared" si="1068"/>
        <v>650</v>
      </c>
      <c r="EN163" s="3">
        <f t="shared" si="1050"/>
        <v>650</v>
      </c>
      <c r="EO163" s="3">
        <f t="shared" si="1016"/>
        <v>650</v>
      </c>
      <c r="EP163" s="3">
        <f t="shared" si="954"/>
        <v>650</v>
      </c>
      <c r="EQ163" s="3">
        <f t="shared" si="1106"/>
        <v>650</v>
      </c>
      <c r="ER163" s="3">
        <f t="shared" si="1106"/>
        <v>650</v>
      </c>
      <c r="ES163" s="3">
        <f t="shared" si="1106"/>
        <v>650</v>
      </c>
      <c r="ET163" s="3">
        <f t="shared" si="1106"/>
        <v>650</v>
      </c>
      <c r="EU163" s="3">
        <f t="shared" si="1106"/>
        <v>650</v>
      </c>
      <c r="EV163" s="3">
        <f t="shared" si="1106"/>
        <v>650</v>
      </c>
      <c r="EW163" s="3">
        <f t="shared" si="1106"/>
        <v>650</v>
      </c>
      <c r="EX163" s="3">
        <f t="shared" si="1106"/>
        <v>650</v>
      </c>
      <c r="EY163" s="3">
        <f t="shared" si="1106"/>
        <v>650</v>
      </c>
      <c r="EZ163" s="5">
        <v>30</v>
      </c>
      <c r="FA163" s="6">
        <f t="shared" si="1114"/>
        <v>0.26851851851851849</v>
      </c>
    </row>
    <row r="164" spans="3:157" x14ac:dyDescent="0.3">
      <c r="C164" s="94"/>
      <c r="D164" s="95"/>
      <c r="E164" s="5">
        <v>29</v>
      </c>
      <c r="F164" s="6">
        <f t="shared" si="1107"/>
        <v>0.25925925925925924</v>
      </c>
      <c r="G164" s="3">
        <f t="shared" si="1099"/>
        <v>600</v>
      </c>
      <c r="H164" s="3">
        <f t="shared" si="1099"/>
        <v>600</v>
      </c>
      <c r="I164" s="3">
        <f t="shared" si="1099"/>
        <v>600</v>
      </c>
      <c r="J164" s="3">
        <f t="shared" si="1099"/>
        <v>600</v>
      </c>
      <c r="K164" s="3">
        <f t="shared" si="1099"/>
        <v>600</v>
      </c>
      <c r="L164" s="3">
        <f t="shared" si="1099"/>
        <v>600</v>
      </c>
      <c r="M164" s="3">
        <f t="shared" si="1099"/>
        <v>600</v>
      </c>
      <c r="N164" s="3">
        <f t="shared" si="1099"/>
        <v>600</v>
      </c>
      <c r="O164" s="3">
        <f t="shared" si="1099"/>
        <v>600</v>
      </c>
      <c r="P164" s="3">
        <f t="shared" si="914"/>
        <v>600</v>
      </c>
      <c r="Q164" s="3">
        <f t="shared" si="975"/>
        <v>600</v>
      </c>
      <c r="R164" s="3">
        <f t="shared" si="1017"/>
        <v>600</v>
      </c>
      <c r="S164" s="3">
        <f t="shared" si="1051"/>
        <v>600</v>
      </c>
      <c r="T164" s="3">
        <f t="shared" si="1085"/>
        <v>600</v>
      </c>
      <c r="U164" s="3">
        <f t="shared" si="1071"/>
        <v>610.41088947653066</v>
      </c>
      <c r="V164" s="3">
        <f t="shared" si="1072"/>
        <v>611.01359065599991</v>
      </c>
      <c r="W164" s="3">
        <f t="shared" si="1073"/>
        <v>612.63881849703796</v>
      </c>
      <c r="X164" s="3">
        <f t="shared" si="1086"/>
        <v>650</v>
      </c>
      <c r="Y164" s="3">
        <f t="shared" si="1052"/>
        <v>650</v>
      </c>
      <c r="Z164" s="3">
        <f t="shared" si="1025"/>
        <v>650</v>
      </c>
      <c r="AA164" s="3">
        <f t="shared" si="985"/>
        <v>650</v>
      </c>
      <c r="AB164" s="3">
        <f t="shared" si="915"/>
        <v>650</v>
      </c>
      <c r="AC164" s="3">
        <f t="shared" si="1100"/>
        <v>650</v>
      </c>
      <c r="AD164" s="3">
        <f t="shared" si="1100"/>
        <v>650</v>
      </c>
      <c r="AE164" s="3">
        <f t="shared" si="1100"/>
        <v>650</v>
      </c>
      <c r="AF164" s="3">
        <f t="shared" si="1100"/>
        <v>650</v>
      </c>
      <c r="AG164" s="3">
        <f t="shared" si="1100"/>
        <v>650</v>
      </c>
      <c r="AH164" s="3">
        <f t="shared" si="1100"/>
        <v>650</v>
      </c>
      <c r="AI164" s="3">
        <f t="shared" si="1100"/>
        <v>650</v>
      </c>
      <c r="AJ164" s="3">
        <f t="shared" si="1100"/>
        <v>650</v>
      </c>
      <c r="AK164" s="3">
        <f t="shared" si="1100"/>
        <v>650</v>
      </c>
      <c r="AL164" s="5">
        <v>29</v>
      </c>
      <c r="AM164" s="6">
        <f t="shared" si="1108"/>
        <v>0.25925925925925924</v>
      </c>
      <c r="AP164" s="102"/>
      <c r="AQ164" s="101"/>
      <c r="AR164" s="5">
        <v>29</v>
      </c>
      <c r="AS164" s="6">
        <f t="shared" si="1109"/>
        <v>0.25925925925925924</v>
      </c>
      <c r="AT164" s="3">
        <f t="shared" si="1101"/>
        <v>600</v>
      </c>
      <c r="AU164" s="3">
        <f t="shared" si="1101"/>
        <v>600</v>
      </c>
      <c r="AV164" s="3">
        <f t="shared" si="1101"/>
        <v>600</v>
      </c>
      <c r="AW164" s="3">
        <f t="shared" si="1101"/>
        <v>600</v>
      </c>
      <c r="AX164" s="3">
        <f t="shared" si="1101"/>
        <v>600</v>
      </c>
      <c r="AY164" s="3">
        <f t="shared" si="1101"/>
        <v>600</v>
      </c>
      <c r="AZ164" s="3">
        <f t="shared" si="1101"/>
        <v>600</v>
      </c>
      <c r="BA164" s="3">
        <f t="shared" si="1101"/>
        <v>600</v>
      </c>
      <c r="BB164" s="3">
        <f t="shared" si="1101"/>
        <v>600</v>
      </c>
      <c r="BC164" s="3">
        <f t="shared" si="916"/>
        <v>600</v>
      </c>
      <c r="BD164" s="3">
        <f t="shared" si="986"/>
        <v>600</v>
      </c>
      <c r="BE164" s="3">
        <f t="shared" si="1026"/>
        <v>600</v>
      </c>
      <c r="BF164" s="3">
        <f t="shared" si="1053"/>
        <v>600</v>
      </c>
      <c r="BG164" s="3">
        <f t="shared" si="1087"/>
        <v>600</v>
      </c>
      <c r="BH164" s="3">
        <f t="shared" si="1077"/>
        <v>-2190151371.6889348</v>
      </c>
      <c r="BI164" s="3">
        <f t="shared" si="1078"/>
        <v>-2192313800.3811421</v>
      </c>
      <c r="BJ164" s="3">
        <f t="shared" si="1079"/>
        <v>-2198145140.7401695</v>
      </c>
      <c r="BK164" s="3">
        <f t="shared" si="1088"/>
        <v>650</v>
      </c>
      <c r="BL164" s="3">
        <f t="shared" si="1054"/>
        <v>650</v>
      </c>
      <c r="BM164" s="3">
        <f t="shared" si="1032"/>
        <v>650</v>
      </c>
      <c r="BN164" s="3">
        <f t="shared" si="994"/>
        <v>650</v>
      </c>
      <c r="BO164" s="3">
        <f t="shared" si="928"/>
        <v>650</v>
      </c>
      <c r="BP164" s="3">
        <f t="shared" si="1102"/>
        <v>650</v>
      </c>
      <c r="BQ164" s="3">
        <f t="shared" si="1102"/>
        <v>650</v>
      </c>
      <c r="BR164" s="3">
        <f t="shared" si="1102"/>
        <v>650</v>
      </c>
      <c r="BS164" s="3">
        <f t="shared" si="1102"/>
        <v>650</v>
      </c>
      <c r="BT164" s="3">
        <f t="shared" si="1102"/>
        <v>650</v>
      </c>
      <c r="BU164" s="3">
        <f t="shared" si="1102"/>
        <v>650</v>
      </c>
      <c r="BV164" s="3">
        <f t="shared" si="1102"/>
        <v>650</v>
      </c>
      <c r="BW164" s="3">
        <f t="shared" si="1102"/>
        <v>650</v>
      </c>
      <c r="BX164" s="3">
        <f t="shared" si="1102"/>
        <v>650</v>
      </c>
      <c r="BY164" s="5">
        <v>29</v>
      </c>
      <c r="BZ164" s="6">
        <f t="shared" si="1110"/>
        <v>0.25925925925925924</v>
      </c>
      <c r="CC164" s="94"/>
      <c r="CD164" s="95"/>
      <c r="CE164" s="5">
        <v>29</v>
      </c>
      <c r="CF164" s="6">
        <f t="shared" si="1111"/>
        <v>0.25925925925925924</v>
      </c>
      <c r="CG164" s="3">
        <f t="shared" si="1103"/>
        <v>600</v>
      </c>
      <c r="CH164" s="3">
        <f t="shared" si="1103"/>
        <v>600</v>
      </c>
      <c r="CI164" s="3">
        <f t="shared" si="1103"/>
        <v>600</v>
      </c>
      <c r="CJ164" s="3">
        <f t="shared" si="1103"/>
        <v>600</v>
      </c>
      <c r="CK164" s="3">
        <f t="shared" si="1103"/>
        <v>600</v>
      </c>
      <c r="CL164" s="3">
        <f t="shared" si="1103"/>
        <v>600</v>
      </c>
      <c r="CM164" s="3">
        <f t="shared" si="1103"/>
        <v>600</v>
      </c>
      <c r="CN164" s="3">
        <f t="shared" si="1103"/>
        <v>600</v>
      </c>
      <c r="CO164" s="3">
        <f t="shared" si="1103"/>
        <v>600</v>
      </c>
      <c r="CP164" s="3">
        <f t="shared" si="929"/>
        <v>600</v>
      </c>
      <c r="CQ164" s="3">
        <f t="shared" si="995"/>
        <v>600</v>
      </c>
      <c r="CR164" s="3">
        <f t="shared" si="1033"/>
        <v>600</v>
      </c>
      <c r="CS164" s="3">
        <f t="shared" si="1055"/>
        <v>600</v>
      </c>
      <c r="CT164" s="3">
        <f t="shared" si="1089"/>
        <v>600</v>
      </c>
      <c r="CU164" s="3">
        <f t="shared" si="1090"/>
        <v>0.11667843062533659</v>
      </c>
      <c r="CV164" s="3">
        <f t="shared" si="1091"/>
        <v>0.11667843062533659</v>
      </c>
      <c r="CW164" s="3">
        <f t="shared" si="1092"/>
        <v>0.11667843062533659</v>
      </c>
      <c r="CX164" s="3">
        <f t="shared" si="1093"/>
        <v>650</v>
      </c>
      <c r="CY164" s="3">
        <f t="shared" si="1061"/>
        <v>650</v>
      </c>
      <c r="CZ164" s="3">
        <f t="shared" si="1041"/>
        <v>650</v>
      </c>
      <c r="DA164" s="3">
        <f t="shared" si="1005"/>
        <v>650</v>
      </c>
      <c r="DB164" s="3">
        <f t="shared" si="941"/>
        <v>650</v>
      </c>
      <c r="DC164" s="3">
        <f t="shared" si="1104"/>
        <v>650</v>
      </c>
      <c r="DD164" s="3">
        <f t="shared" si="1104"/>
        <v>650</v>
      </c>
      <c r="DE164" s="3">
        <f t="shared" si="1104"/>
        <v>650</v>
      </c>
      <c r="DF164" s="3">
        <f t="shared" si="1104"/>
        <v>650</v>
      </c>
      <c r="DG164" s="3">
        <f t="shared" si="1104"/>
        <v>650</v>
      </c>
      <c r="DH164" s="3">
        <f t="shared" si="1104"/>
        <v>650</v>
      </c>
      <c r="DI164" s="3">
        <f t="shared" si="1104"/>
        <v>650</v>
      </c>
      <c r="DJ164" s="3">
        <f t="shared" si="1104"/>
        <v>650</v>
      </c>
      <c r="DK164" s="3">
        <f t="shared" si="1104"/>
        <v>650</v>
      </c>
      <c r="DL164" s="5">
        <v>29</v>
      </c>
      <c r="DM164" s="6">
        <f t="shared" si="1112"/>
        <v>0.25925925925925924</v>
      </c>
      <c r="DQ164" s="94"/>
      <c r="DR164" s="95"/>
      <c r="DS164" s="5">
        <v>29</v>
      </c>
      <c r="DT164" s="6">
        <f t="shared" si="1113"/>
        <v>0.25925925925925924</v>
      </c>
      <c r="DU164" s="3">
        <f t="shared" si="1105"/>
        <v>600</v>
      </c>
      <c r="DV164" s="3">
        <f t="shared" si="1105"/>
        <v>600</v>
      </c>
      <c r="DW164" s="3">
        <f t="shared" si="1105"/>
        <v>600</v>
      </c>
      <c r="DX164" s="3">
        <f t="shared" si="1105"/>
        <v>600</v>
      </c>
      <c r="DY164" s="3">
        <f t="shared" si="1105"/>
        <v>600</v>
      </c>
      <c r="DZ164" s="3">
        <f t="shared" si="1105"/>
        <v>600</v>
      </c>
      <c r="EA164" s="3">
        <f t="shared" si="1105"/>
        <v>600</v>
      </c>
      <c r="EB164" s="3">
        <f t="shared" si="1105"/>
        <v>600</v>
      </c>
      <c r="EC164" s="3">
        <f t="shared" si="1105"/>
        <v>600</v>
      </c>
      <c r="ED164" s="3">
        <f t="shared" si="942"/>
        <v>600</v>
      </c>
      <c r="EE164" s="3">
        <f t="shared" si="1006"/>
        <v>600</v>
      </c>
      <c r="EF164" s="3">
        <f t="shared" si="1042"/>
        <v>600</v>
      </c>
      <c r="EG164" s="3">
        <f t="shared" si="1062"/>
        <v>600</v>
      </c>
      <c r="EH164" s="3">
        <f t="shared" si="1094"/>
        <v>600</v>
      </c>
      <c r="EI164" s="3">
        <f t="shared" si="1095"/>
        <v>539.18904231609156</v>
      </c>
      <c r="EJ164" s="3">
        <f t="shared" si="1096"/>
        <v>539.7214199060536</v>
      </c>
      <c r="EK164" s="3">
        <f t="shared" si="1097"/>
        <v>541.15701920633444</v>
      </c>
      <c r="EL164" s="3">
        <f t="shared" si="1098"/>
        <v>650</v>
      </c>
      <c r="EM164" s="3">
        <f t="shared" si="1068"/>
        <v>650</v>
      </c>
      <c r="EN164" s="3">
        <f t="shared" si="1050"/>
        <v>650</v>
      </c>
      <c r="EO164" s="3">
        <f t="shared" si="1016"/>
        <v>650</v>
      </c>
      <c r="EP164" s="3">
        <f t="shared" si="954"/>
        <v>650</v>
      </c>
      <c r="EQ164" s="3">
        <f t="shared" si="1106"/>
        <v>650</v>
      </c>
      <c r="ER164" s="3">
        <f t="shared" si="1106"/>
        <v>650</v>
      </c>
      <c r="ES164" s="3">
        <f t="shared" si="1106"/>
        <v>650</v>
      </c>
      <c r="ET164" s="3">
        <f t="shared" si="1106"/>
        <v>650</v>
      </c>
      <c r="EU164" s="3">
        <f t="shared" si="1106"/>
        <v>650</v>
      </c>
      <c r="EV164" s="3">
        <f t="shared" si="1106"/>
        <v>650</v>
      </c>
      <c r="EW164" s="3">
        <f t="shared" si="1106"/>
        <v>650</v>
      </c>
      <c r="EX164" s="3">
        <f t="shared" si="1106"/>
        <v>650</v>
      </c>
      <c r="EY164" s="3">
        <f t="shared" si="1106"/>
        <v>650</v>
      </c>
      <c r="EZ164" s="5">
        <v>29</v>
      </c>
      <c r="FA164" s="6">
        <f t="shared" si="1114"/>
        <v>0.25925925925925924</v>
      </c>
    </row>
    <row r="165" spans="3:157" x14ac:dyDescent="0.3">
      <c r="C165" s="94"/>
      <c r="D165" s="95"/>
      <c r="E165" s="5">
        <v>28</v>
      </c>
      <c r="F165" s="6">
        <f t="shared" si="1107"/>
        <v>0.25</v>
      </c>
      <c r="G165" s="3">
        <f t="shared" si="1099"/>
        <v>600</v>
      </c>
      <c r="H165" s="3">
        <f t="shared" si="1099"/>
        <v>600</v>
      </c>
      <c r="I165" s="3">
        <f t="shared" si="1099"/>
        <v>600</v>
      </c>
      <c r="J165" s="3">
        <f t="shared" si="1099"/>
        <v>600</v>
      </c>
      <c r="K165" s="3">
        <f t="shared" si="1099"/>
        <v>600</v>
      </c>
      <c r="L165" s="3">
        <f t="shared" si="1099"/>
        <v>600</v>
      </c>
      <c r="M165" s="3">
        <f t="shared" si="1099"/>
        <v>600</v>
      </c>
      <c r="N165" s="3">
        <f t="shared" si="1099"/>
        <v>600</v>
      </c>
      <c r="O165" s="3">
        <f t="shared" si="1099"/>
        <v>600</v>
      </c>
      <c r="P165" s="3">
        <f t="shared" si="914"/>
        <v>600</v>
      </c>
      <c r="Q165" s="3">
        <f t="shared" si="975"/>
        <v>600</v>
      </c>
      <c r="R165" s="3">
        <f t="shared" si="1017"/>
        <v>600</v>
      </c>
      <c r="S165" s="3">
        <f t="shared" si="1051"/>
        <v>600</v>
      </c>
      <c r="T165" s="3">
        <f t="shared" si="1085"/>
        <v>600</v>
      </c>
      <c r="U165" s="3">
        <f t="shared" si="1071"/>
        <v>610.41142547707022</v>
      </c>
      <c r="V165" s="3">
        <f t="shared" si="1072"/>
        <v>611.01413832751086</v>
      </c>
      <c r="W165" s="3">
        <f t="shared" si="1073"/>
        <v>612.63936194202904</v>
      </c>
      <c r="X165" s="3">
        <f t="shared" si="1086"/>
        <v>650</v>
      </c>
      <c r="Y165" s="3">
        <f t="shared" si="1052"/>
        <v>650</v>
      </c>
      <c r="Z165" s="3">
        <f t="shared" si="1025"/>
        <v>650</v>
      </c>
      <c r="AA165" s="3">
        <f t="shared" si="985"/>
        <v>650</v>
      </c>
      <c r="AB165" s="3">
        <f t="shared" si="915"/>
        <v>650</v>
      </c>
      <c r="AC165" s="3">
        <f t="shared" si="1100"/>
        <v>650</v>
      </c>
      <c r="AD165" s="3">
        <f t="shared" si="1100"/>
        <v>650</v>
      </c>
      <c r="AE165" s="3">
        <f t="shared" si="1100"/>
        <v>650</v>
      </c>
      <c r="AF165" s="3">
        <f t="shared" si="1100"/>
        <v>650</v>
      </c>
      <c r="AG165" s="3">
        <f t="shared" si="1100"/>
        <v>650</v>
      </c>
      <c r="AH165" s="3">
        <f t="shared" si="1100"/>
        <v>650</v>
      </c>
      <c r="AI165" s="3">
        <f t="shared" si="1100"/>
        <v>650</v>
      </c>
      <c r="AJ165" s="3">
        <f t="shared" si="1100"/>
        <v>650</v>
      </c>
      <c r="AK165" s="3">
        <f t="shared" si="1100"/>
        <v>650</v>
      </c>
      <c r="AL165" s="5">
        <v>28</v>
      </c>
      <c r="AM165" s="6">
        <f t="shared" si="1108"/>
        <v>0.25</v>
      </c>
      <c r="AP165" s="102"/>
      <c r="AQ165" s="101"/>
      <c r="AR165" s="5">
        <v>28</v>
      </c>
      <c r="AS165" s="6">
        <f t="shared" si="1109"/>
        <v>0.25</v>
      </c>
      <c r="AT165" s="3">
        <f t="shared" si="1101"/>
        <v>600</v>
      </c>
      <c r="AU165" s="3">
        <f t="shared" si="1101"/>
        <v>600</v>
      </c>
      <c r="AV165" s="3">
        <f t="shared" si="1101"/>
        <v>600</v>
      </c>
      <c r="AW165" s="3">
        <f t="shared" si="1101"/>
        <v>600</v>
      </c>
      <c r="AX165" s="3">
        <f t="shared" si="1101"/>
        <v>600</v>
      </c>
      <c r="AY165" s="3">
        <f t="shared" si="1101"/>
        <v>600</v>
      </c>
      <c r="AZ165" s="3">
        <f t="shared" si="1101"/>
        <v>600</v>
      </c>
      <c r="BA165" s="3">
        <f t="shared" si="1101"/>
        <v>600</v>
      </c>
      <c r="BB165" s="3">
        <f t="shared" si="1101"/>
        <v>600</v>
      </c>
      <c r="BC165" s="3">
        <f t="shared" si="916"/>
        <v>600</v>
      </c>
      <c r="BD165" s="3">
        <f t="shared" si="986"/>
        <v>600</v>
      </c>
      <c r="BE165" s="3">
        <f t="shared" si="1026"/>
        <v>600</v>
      </c>
      <c r="BF165" s="3">
        <f t="shared" si="1053"/>
        <v>600</v>
      </c>
      <c r="BG165" s="3">
        <f t="shared" si="1087"/>
        <v>600</v>
      </c>
      <c r="BH165" s="3">
        <f t="shared" si="1077"/>
        <v>-2190153183.0707216</v>
      </c>
      <c r="BI165" s="3">
        <f t="shared" si="1078"/>
        <v>-2192315651.2042742</v>
      </c>
      <c r="BJ165" s="3">
        <f t="shared" si="1079"/>
        <v>-2198146977.2800374</v>
      </c>
      <c r="BK165" s="3">
        <f t="shared" si="1088"/>
        <v>650</v>
      </c>
      <c r="BL165" s="3">
        <f t="shared" si="1054"/>
        <v>650</v>
      </c>
      <c r="BM165" s="3">
        <f t="shared" si="1032"/>
        <v>650</v>
      </c>
      <c r="BN165" s="3">
        <f t="shared" si="994"/>
        <v>650</v>
      </c>
      <c r="BO165" s="3">
        <f t="shared" si="928"/>
        <v>650</v>
      </c>
      <c r="BP165" s="3">
        <f t="shared" si="1102"/>
        <v>650</v>
      </c>
      <c r="BQ165" s="3">
        <f t="shared" si="1102"/>
        <v>650</v>
      </c>
      <c r="BR165" s="3">
        <f t="shared" si="1102"/>
        <v>650</v>
      </c>
      <c r="BS165" s="3">
        <f t="shared" si="1102"/>
        <v>650</v>
      </c>
      <c r="BT165" s="3">
        <f t="shared" si="1102"/>
        <v>650</v>
      </c>
      <c r="BU165" s="3">
        <f t="shared" si="1102"/>
        <v>650</v>
      </c>
      <c r="BV165" s="3">
        <f t="shared" si="1102"/>
        <v>650</v>
      </c>
      <c r="BW165" s="3">
        <f t="shared" si="1102"/>
        <v>650</v>
      </c>
      <c r="BX165" s="3">
        <f t="shared" si="1102"/>
        <v>650</v>
      </c>
      <c r="BY165" s="5">
        <v>28</v>
      </c>
      <c r="BZ165" s="6">
        <f t="shared" si="1110"/>
        <v>0.25</v>
      </c>
      <c r="CC165" s="94"/>
      <c r="CD165" s="95"/>
      <c r="CE165" s="5">
        <v>28</v>
      </c>
      <c r="CF165" s="6">
        <f t="shared" si="1111"/>
        <v>0.25</v>
      </c>
      <c r="CG165" s="3">
        <f t="shared" si="1103"/>
        <v>600</v>
      </c>
      <c r="CH165" s="3">
        <f t="shared" si="1103"/>
        <v>600</v>
      </c>
      <c r="CI165" s="3">
        <f t="shared" si="1103"/>
        <v>600</v>
      </c>
      <c r="CJ165" s="3">
        <f t="shared" si="1103"/>
        <v>600</v>
      </c>
      <c r="CK165" s="3">
        <f t="shared" si="1103"/>
        <v>600</v>
      </c>
      <c r="CL165" s="3">
        <f t="shared" si="1103"/>
        <v>600</v>
      </c>
      <c r="CM165" s="3">
        <f t="shared" si="1103"/>
        <v>600</v>
      </c>
      <c r="CN165" s="3">
        <f t="shared" si="1103"/>
        <v>600</v>
      </c>
      <c r="CO165" s="3">
        <f t="shared" si="1103"/>
        <v>600</v>
      </c>
      <c r="CP165" s="3">
        <f t="shared" si="929"/>
        <v>600</v>
      </c>
      <c r="CQ165" s="3">
        <f t="shared" si="995"/>
        <v>600</v>
      </c>
      <c r="CR165" s="3">
        <f t="shared" si="1033"/>
        <v>600</v>
      </c>
      <c r="CS165" s="3">
        <f t="shared" si="1055"/>
        <v>600</v>
      </c>
      <c r="CT165" s="3">
        <f t="shared" si="1089"/>
        <v>600</v>
      </c>
      <c r="CU165" s="3">
        <f t="shared" si="1090"/>
        <v>0.11667843062533659</v>
      </c>
      <c r="CV165" s="3">
        <f t="shared" si="1091"/>
        <v>0.11667843062533659</v>
      </c>
      <c r="CW165" s="3">
        <f t="shared" si="1092"/>
        <v>0.11667843062533659</v>
      </c>
      <c r="CX165" s="3">
        <f t="shared" si="1093"/>
        <v>650</v>
      </c>
      <c r="CY165" s="3">
        <f t="shared" si="1061"/>
        <v>650</v>
      </c>
      <c r="CZ165" s="3">
        <f t="shared" si="1041"/>
        <v>650</v>
      </c>
      <c r="DA165" s="3">
        <f t="shared" si="1005"/>
        <v>650</v>
      </c>
      <c r="DB165" s="3">
        <f t="shared" si="941"/>
        <v>650</v>
      </c>
      <c r="DC165" s="3">
        <f t="shared" si="1104"/>
        <v>650</v>
      </c>
      <c r="DD165" s="3">
        <f t="shared" si="1104"/>
        <v>650</v>
      </c>
      <c r="DE165" s="3">
        <f t="shared" si="1104"/>
        <v>650</v>
      </c>
      <c r="DF165" s="3">
        <f t="shared" si="1104"/>
        <v>650</v>
      </c>
      <c r="DG165" s="3">
        <f t="shared" si="1104"/>
        <v>650</v>
      </c>
      <c r="DH165" s="3">
        <f t="shared" si="1104"/>
        <v>650</v>
      </c>
      <c r="DI165" s="3">
        <f t="shared" si="1104"/>
        <v>650</v>
      </c>
      <c r="DJ165" s="3">
        <f t="shared" si="1104"/>
        <v>650</v>
      </c>
      <c r="DK165" s="3">
        <f t="shared" si="1104"/>
        <v>650</v>
      </c>
      <c r="DL165" s="5">
        <v>28</v>
      </c>
      <c r="DM165" s="6">
        <f t="shared" si="1112"/>
        <v>0.25</v>
      </c>
      <c r="DQ165" s="94"/>
      <c r="DR165" s="95"/>
      <c r="DS165" s="5">
        <v>28</v>
      </c>
      <c r="DT165" s="6">
        <f t="shared" si="1113"/>
        <v>0.25</v>
      </c>
      <c r="DU165" s="3">
        <f t="shared" si="1105"/>
        <v>600</v>
      </c>
      <c r="DV165" s="3">
        <f t="shared" si="1105"/>
        <v>600</v>
      </c>
      <c r="DW165" s="3">
        <f t="shared" si="1105"/>
        <v>600</v>
      </c>
      <c r="DX165" s="3">
        <f t="shared" si="1105"/>
        <v>600</v>
      </c>
      <c r="DY165" s="3">
        <f t="shared" si="1105"/>
        <v>600</v>
      </c>
      <c r="DZ165" s="3">
        <f t="shared" si="1105"/>
        <v>600</v>
      </c>
      <c r="EA165" s="3">
        <f t="shared" si="1105"/>
        <v>600</v>
      </c>
      <c r="EB165" s="3">
        <f t="shared" si="1105"/>
        <v>600</v>
      </c>
      <c r="EC165" s="3">
        <f t="shared" si="1105"/>
        <v>600</v>
      </c>
      <c r="ED165" s="3">
        <f t="shared" si="942"/>
        <v>600</v>
      </c>
      <c r="EE165" s="3">
        <f t="shared" si="1006"/>
        <v>600</v>
      </c>
      <c r="EF165" s="3">
        <f t="shared" si="1042"/>
        <v>600</v>
      </c>
      <c r="EG165" s="3">
        <f t="shared" si="1062"/>
        <v>600</v>
      </c>
      <c r="EH165" s="3">
        <f t="shared" si="1094"/>
        <v>600</v>
      </c>
      <c r="EI165" s="3">
        <f t="shared" si="1095"/>
        <v>539.18886087839644</v>
      </c>
      <c r="EJ165" s="3">
        <f t="shared" si="1096"/>
        <v>539.72123451770244</v>
      </c>
      <c r="EK165" s="3">
        <f t="shared" si="1097"/>
        <v>541.15683524867154</v>
      </c>
      <c r="EL165" s="3">
        <f t="shared" si="1098"/>
        <v>650</v>
      </c>
      <c r="EM165" s="3">
        <f t="shared" si="1068"/>
        <v>650</v>
      </c>
      <c r="EN165" s="3">
        <f t="shared" si="1050"/>
        <v>650</v>
      </c>
      <c r="EO165" s="3">
        <f t="shared" si="1016"/>
        <v>650</v>
      </c>
      <c r="EP165" s="3">
        <f t="shared" si="954"/>
        <v>650</v>
      </c>
      <c r="EQ165" s="3">
        <f t="shared" si="1106"/>
        <v>650</v>
      </c>
      <c r="ER165" s="3">
        <f t="shared" si="1106"/>
        <v>650</v>
      </c>
      <c r="ES165" s="3">
        <f t="shared" si="1106"/>
        <v>650</v>
      </c>
      <c r="ET165" s="3">
        <f t="shared" si="1106"/>
        <v>650</v>
      </c>
      <c r="EU165" s="3">
        <f t="shared" si="1106"/>
        <v>650</v>
      </c>
      <c r="EV165" s="3">
        <f t="shared" si="1106"/>
        <v>650</v>
      </c>
      <c r="EW165" s="3">
        <f t="shared" si="1106"/>
        <v>650</v>
      </c>
      <c r="EX165" s="3">
        <f t="shared" si="1106"/>
        <v>650</v>
      </c>
      <c r="EY165" s="3">
        <f t="shared" si="1106"/>
        <v>650</v>
      </c>
      <c r="EZ165" s="5">
        <v>28</v>
      </c>
      <c r="FA165" s="6">
        <f t="shared" si="1114"/>
        <v>0.25</v>
      </c>
    </row>
    <row r="166" spans="3:157" x14ac:dyDescent="0.3">
      <c r="C166" s="94"/>
      <c r="D166" s="95"/>
      <c r="E166" s="5">
        <v>27</v>
      </c>
      <c r="F166" s="6">
        <f t="shared" si="1107"/>
        <v>0.24074074074074073</v>
      </c>
      <c r="G166" s="3">
        <f t="shared" si="1099"/>
        <v>600</v>
      </c>
      <c r="H166" s="3">
        <f t="shared" si="1099"/>
        <v>600</v>
      </c>
      <c r="I166" s="3">
        <f t="shared" si="1099"/>
        <v>600</v>
      </c>
      <c r="J166" s="3">
        <f t="shared" si="1099"/>
        <v>600</v>
      </c>
      <c r="K166" s="3">
        <f t="shared" si="1099"/>
        <v>600</v>
      </c>
      <c r="L166" s="3">
        <f t="shared" si="1099"/>
        <v>600</v>
      </c>
      <c r="M166" s="3">
        <f t="shared" si="1099"/>
        <v>600</v>
      </c>
      <c r="N166" s="3">
        <f t="shared" si="1099"/>
        <v>600</v>
      </c>
      <c r="O166" s="3">
        <f t="shared" si="1099"/>
        <v>600</v>
      </c>
      <c r="P166" s="3">
        <f t="shared" si="914"/>
        <v>600</v>
      </c>
      <c r="Q166" s="3">
        <f t="shared" si="975"/>
        <v>600</v>
      </c>
      <c r="R166" s="3">
        <f t="shared" si="1017"/>
        <v>600</v>
      </c>
      <c r="S166" s="3">
        <f t="shared" si="1051"/>
        <v>600</v>
      </c>
      <c r="T166" s="3">
        <f t="shared" si="1085"/>
        <v>600</v>
      </c>
      <c r="U166" s="3">
        <f t="shared" si="1071"/>
        <v>610.4175743276395</v>
      </c>
      <c r="V166" s="3">
        <f t="shared" si="1072"/>
        <v>611.02042106424415</v>
      </c>
      <c r="W166" s="3">
        <f t="shared" si="1073"/>
        <v>612.64559619329634</v>
      </c>
      <c r="X166" s="3">
        <f t="shared" si="1086"/>
        <v>650</v>
      </c>
      <c r="Y166" s="3">
        <f t="shared" si="1052"/>
        <v>650</v>
      </c>
      <c r="Z166" s="3">
        <f t="shared" si="1025"/>
        <v>650</v>
      </c>
      <c r="AA166" s="3">
        <f t="shared" si="985"/>
        <v>650</v>
      </c>
      <c r="AB166" s="3">
        <f t="shared" si="915"/>
        <v>650</v>
      </c>
      <c r="AC166" s="3">
        <f t="shared" si="1100"/>
        <v>650</v>
      </c>
      <c r="AD166" s="3">
        <f t="shared" si="1100"/>
        <v>650</v>
      </c>
      <c r="AE166" s="3">
        <f t="shared" si="1100"/>
        <v>650</v>
      </c>
      <c r="AF166" s="3">
        <f t="shared" si="1100"/>
        <v>650</v>
      </c>
      <c r="AG166" s="3">
        <f t="shared" si="1100"/>
        <v>650</v>
      </c>
      <c r="AH166" s="3">
        <f t="shared" si="1100"/>
        <v>650</v>
      </c>
      <c r="AI166" s="3">
        <f t="shared" si="1100"/>
        <v>650</v>
      </c>
      <c r="AJ166" s="3">
        <f t="shared" si="1100"/>
        <v>650</v>
      </c>
      <c r="AK166" s="3">
        <f t="shared" si="1100"/>
        <v>650</v>
      </c>
      <c r="AL166" s="5">
        <v>27</v>
      </c>
      <c r="AM166" s="6">
        <f t="shared" si="1108"/>
        <v>0.24074074074074073</v>
      </c>
      <c r="AP166" s="102"/>
      <c r="AQ166" s="101"/>
      <c r="AR166" s="5">
        <v>27</v>
      </c>
      <c r="AS166" s="6">
        <f t="shared" si="1109"/>
        <v>0.24074074074074073</v>
      </c>
      <c r="AT166" s="3">
        <f t="shared" si="1101"/>
        <v>600</v>
      </c>
      <c r="AU166" s="3">
        <f t="shared" si="1101"/>
        <v>600</v>
      </c>
      <c r="AV166" s="3">
        <f t="shared" si="1101"/>
        <v>600</v>
      </c>
      <c r="AW166" s="3">
        <f t="shared" si="1101"/>
        <v>600</v>
      </c>
      <c r="AX166" s="3">
        <f t="shared" si="1101"/>
        <v>600</v>
      </c>
      <c r="AY166" s="3">
        <f t="shared" si="1101"/>
        <v>600</v>
      </c>
      <c r="AZ166" s="3">
        <f t="shared" si="1101"/>
        <v>600</v>
      </c>
      <c r="BA166" s="3">
        <f t="shared" si="1101"/>
        <v>600</v>
      </c>
      <c r="BB166" s="3">
        <f t="shared" si="1101"/>
        <v>600</v>
      </c>
      <c r="BC166" s="3">
        <f t="shared" si="916"/>
        <v>600</v>
      </c>
      <c r="BD166" s="3">
        <f t="shared" si="986"/>
        <v>600</v>
      </c>
      <c r="BE166" s="3">
        <f t="shared" si="1026"/>
        <v>600</v>
      </c>
      <c r="BF166" s="3">
        <f t="shared" si="1053"/>
        <v>600</v>
      </c>
      <c r="BG166" s="3">
        <f t="shared" si="1087"/>
        <v>600</v>
      </c>
      <c r="BH166" s="3">
        <f t="shared" si="1077"/>
        <v>-2190174419.6075692</v>
      </c>
      <c r="BI166" s="3">
        <f t="shared" si="1078"/>
        <v>-2192337350.1491966</v>
      </c>
      <c r="BJ166" s="3">
        <f t="shared" si="1079"/>
        <v>-2198168508.768785</v>
      </c>
      <c r="BK166" s="3">
        <f t="shared" si="1088"/>
        <v>650</v>
      </c>
      <c r="BL166" s="3">
        <f t="shared" si="1054"/>
        <v>650</v>
      </c>
      <c r="BM166" s="3">
        <f t="shared" si="1032"/>
        <v>650</v>
      </c>
      <c r="BN166" s="3">
        <f t="shared" si="994"/>
        <v>650</v>
      </c>
      <c r="BO166" s="3">
        <f t="shared" si="928"/>
        <v>650</v>
      </c>
      <c r="BP166" s="3">
        <f t="shared" si="1102"/>
        <v>650</v>
      </c>
      <c r="BQ166" s="3">
        <f t="shared" si="1102"/>
        <v>650</v>
      </c>
      <c r="BR166" s="3">
        <f t="shared" si="1102"/>
        <v>650</v>
      </c>
      <c r="BS166" s="3">
        <f t="shared" si="1102"/>
        <v>650</v>
      </c>
      <c r="BT166" s="3">
        <f t="shared" si="1102"/>
        <v>650</v>
      </c>
      <c r="BU166" s="3">
        <f t="shared" si="1102"/>
        <v>650</v>
      </c>
      <c r="BV166" s="3">
        <f t="shared" si="1102"/>
        <v>650</v>
      </c>
      <c r="BW166" s="3">
        <f t="shared" si="1102"/>
        <v>650</v>
      </c>
      <c r="BX166" s="3">
        <f t="shared" si="1102"/>
        <v>650</v>
      </c>
      <c r="BY166" s="5">
        <v>27</v>
      </c>
      <c r="BZ166" s="6">
        <f t="shared" si="1110"/>
        <v>0.24074074074074073</v>
      </c>
      <c r="CC166" s="94"/>
      <c r="CD166" s="95"/>
      <c r="CE166" s="5">
        <v>27</v>
      </c>
      <c r="CF166" s="6">
        <f t="shared" si="1111"/>
        <v>0.24074074074074073</v>
      </c>
      <c r="CG166" s="3">
        <f t="shared" si="1103"/>
        <v>600</v>
      </c>
      <c r="CH166" s="3">
        <f t="shared" si="1103"/>
        <v>600</v>
      </c>
      <c r="CI166" s="3">
        <f t="shared" si="1103"/>
        <v>600</v>
      </c>
      <c r="CJ166" s="3">
        <f t="shared" si="1103"/>
        <v>600</v>
      </c>
      <c r="CK166" s="3">
        <f t="shared" si="1103"/>
        <v>600</v>
      </c>
      <c r="CL166" s="3">
        <f t="shared" si="1103"/>
        <v>600</v>
      </c>
      <c r="CM166" s="3">
        <f t="shared" si="1103"/>
        <v>600</v>
      </c>
      <c r="CN166" s="3">
        <f t="shared" si="1103"/>
        <v>600</v>
      </c>
      <c r="CO166" s="3">
        <f t="shared" si="1103"/>
        <v>600</v>
      </c>
      <c r="CP166" s="3">
        <f t="shared" si="929"/>
        <v>600</v>
      </c>
      <c r="CQ166" s="3">
        <f t="shared" si="995"/>
        <v>600</v>
      </c>
      <c r="CR166" s="3">
        <f t="shared" si="1033"/>
        <v>600</v>
      </c>
      <c r="CS166" s="3">
        <f t="shared" si="1055"/>
        <v>600</v>
      </c>
      <c r="CT166" s="3">
        <f t="shared" si="1089"/>
        <v>600</v>
      </c>
      <c r="CU166" s="3">
        <f t="shared" si="1090"/>
        <v>0.11667843062533659</v>
      </c>
      <c r="CV166" s="3">
        <f t="shared" si="1091"/>
        <v>0.11667843062533659</v>
      </c>
      <c r="CW166" s="3">
        <f t="shared" si="1092"/>
        <v>0.11667843062533659</v>
      </c>
      <c r="CX166" s="3">
        <f t="shared" si="1093"/>
        <v>650</v>
      </c>
      <c r="CY166" s="3">
        <f t="shared" si="1061"/>
        <v>650</v>
      </c>
      <c r="CZ166" s="3">
        <f t="shared" si="1041"/>
        <v>650</v>
      </c>
      <c r="DA166" s="3">
        <f t="shared" si="1005"/>
        <v>650</v>
      </c>
      <c r="DB166" s="3">
        <f t="shared" si="941"/>
        <v>650</v>
      </c>
      <c r="DC166" s="3">
        <f t="shared" si="1104"/>
        <v>650</v>
      </c>
      <c r="DD166" s="3">
        <f t="shared" si="1104"/>
        <v>650</v>
      </c>
      <c r="DE166" s="3">
        <f t="shared" si="1104"/>
        <v>650</v>
      </c>
      <c r="DF166" s="3">
        <f t="shared" si="1104"/>
        <v>650</v>
      </c>
      <c r="DG166" s="3">
        <f t="shared" si="1104"/>
        <v>650</v>
      </c>
      <c r="DH166" s="3">
        <f t="shared" si="1104"/>
        <v>650</v>
      </c>
      <c r="DI166" s="3">
        <f t="shared" si="1104"/>
        <v>650</v>
      </c>
      <c r="DJ166" s="3">
        <f t="shared" si="1104"/>
        <v>650</v>
      </c>
      <c r="DK166" s="3">
        <f t="shared" si="1104"/>
        <v>650</v>
      </c>
      <c r="DL166" s="5">
        <v>27</v>
      </c>
      <c r="DM166" s="6">
        <f t="shared" si="1112"/>
        <v>0.24074074074074073</v>
      </c>
      <c r="DQ166" s="94"/>
      <c r="DR166" s="95"/>
      <c r="DS166" s="5">
        <v>27</v>
      </c>
      <c r="DT166" s="6">
        <f t="shared" si="1113"/>
        <v>0.24074074074074073</v>
      </c>
      <c r="DU166" s="3">
        <f t="shared" si="1105"/>
        <v>600</v>
      </c>
      <c r="DV166" s="3">
        <f t="shared" si="1105"/>
        <v>600</v>
      </c>
      <c r="DW166" s="3">
        <f t="shared" si="1105"/>
        <v>600</v>
      </c>
      <c r="DX166" s="3">
        <f t="shared" si="1105"/>
        <v>600</v>
      </c>
      <c r="DY166" s="3">
        <f t="shared" si="1105"/>
        <v>600</v>
      </c>
      <c r="DZ166" s="3">
        <f t="shared" si="1105"/>
        <v>600</v>
      </c>
      <c r="EA166" s="3">
        <f t="shared" si="1105"/>
        <v>600</v>
      </c>
      <c r="EB166" s="3">
        <f t="shared" si="1105"/>
        <v>600</v>
      </c>
      <c r="EC166" s="3">
        <f t="shared" si="1105"/>
        <v>600</v>
      </c>
      <c r="ED166" s="3">
        <f t="shared" si="942"/>
        <v>600</v>
      </c>
      <c r="EE166" s="3">
        <f t="shared" si="1006"/>
        <v>600</v>
      </c>
      <c r="EF166" s="3">
        <f t="shared" si="1042"/>
        <v>600</v>
      </c>
      <c r="EG166" s="3">
        <f t="shared" si="1062"/>
        <v>600</v>
      </c>
      <c r="EH166" s="3">
        <f t="shared" si="1094"/>
        <v>600</v>
      </c>
      <c r="EI166" s="3">
        <f t="shared" si="1095"/>
        <v>539.19345786806923</v>
      </c>
      <c r="EJ166" s="3">
        <f t="shared" si="1096"/>
        <v>539.72593160303393</v>
      </c>
      <c r="EK166" s="3">
        <f t="shared" si="1097"/>
        <v>541.16149608542287</v>
      </c>
      <c r="EL166" s="3">
        <f t="shared" si="1098"/>
        <v>650</v>
      </c>
      <c r="EM166" s="3">
        <f t="shared" si="1068"/>
        <v>650</v>
      </c>
      <c r="EN166" s="3">
        <f t="shared" si="1050"/>
        <v>650</v>
      </c>
      <c r="EO166" s="3">
        <f t="shared" si="1016"/>
        <v>650</v>
      </c>
      <c r="EP166" s="3">
        <f t="shared" si="954"/>
        <v>650</v>
      </c>
      <c r="EQ166" s="3">
        <f t="shared" si="1106"/>
        <v>650</v>
      </c>
      <c r="ER166" s="3">
        <f t="shared" si="1106"/>
        <v>650</v>
      </c>
      <c r="ES166" s="3">
        <f t="shared" si="1106"/>
        <v>650</v>
      </c>
      <c r="ET166" s="3">
        <f t="shared" si="1106"/>
        <v>650</v>
      </c>
      <c r="EU166" s="3">
        <f t="shared" si="1106"/>
        <v>650</v>
      </c>
      <c r="EV166" s="3">
        <f t="shared" si="1106"/>
        <v>650</v>
      </c>
      <c r="EW166" s="3">
        <f t="shared" si="1106"/>
        <v>650</v>
      </c>
      <c r="EX166" s="3">
        <f t="shared" si="1106"/>
        <v>650</v>
      </c>
      <c r="EY166" s="3">
        <f t="shared" si="1106"/>
        <v>650</v>
      </c>
      <c r="EZ166" s="5">
        <v>27</v>
      </c>
      <c r="FA166" s="6">
        <f t="shared" si="1114"/>
        <v>0.24074074074074073</v>
      </c>
    </row>
    <row r="167" spans="3:157" x14ac:dyDescent="0.3">
      <c r="C167" s="94"/>
      <c r="D167" s="95"/>
      <c r="E167" s="5">
        <v>26</v>
      </c>
      <c r="F167" s="6">
        <f t="shared" si="1107"/>
        <v>0.23148148148148145</v>
      </c>
      <c r="G167" s="3">
        <f t="shared" si="1099"/>
        <v>600</v>
      </c>
      <c r="H167" s="3">
        <f t="shared" si="1099"/>
        <v>600</v>
      </c>
      <c r="I167" s="3">
        <f t="shared" si="1099"/>
        <v>600</v>
      </c>
      <c r="J167" s="3">
        <f t="shared" si="1099"/>
        <v>600</v>
      </c>
      <c r="K167" s="3">
        <f t="shared" si="1099"/>
        <v>600</v>
      </c>
      <c r="L167" s="3">
        <f t="shared" si="1099"/>
        <v>600</v>
      </c>
      <c r="M167" s="3">
        <f t="shared" si="1099"/>
        <v>600</v>
      </c>
      <c r="N167" s="3">
        <f t="shared" si="1099"/>
        <v>600</v>
      </c>
      <c r="O167" s="3">
        <f t="shared" si="1099"/>
        <v>600</v>
      </c>
      <c r="P167" s="3">
        <f t="shared" si="914"/>
        <v>600</v>
      </c>
      <c r="Q167" s="3">
        <f t="shared" si="975"/>
        <v>600</v>
      </c>
      <c r="R167" s="3">
        <f t="shared" si="1017"/>
        <v>600</v>
      </c>
      <c r="S167" s="3">
        <f t="shared" si="1051"/>
        <v>600</v>
      </c>
      <c r="T167" s="3">
        <f t="shared" si="1085"/>
        <v>600</v>
      </c>
      <c r="U167" s="3">
        <f t="shared" si="1071"/>
        <v>610.43087465134295</v>
      </c>
      <c r="V167" s="3">
        <f t="shared" si="1072"/>
        <v>611.03401099164853</v>
      </c>
      <c r="W167" s="3">
        <f t="shared" si="1073"/>
        <v>612.65908124368309</v>
      </c>
      <c r="X167" s="3">
        <f t="shared" si="1086"/>
        <v>650</v>
      </c>
      <c r="Y167" s="3">
        <f t="shared" si="1052"/>
        <v>650</v>
      </c>
      <c r="Z167" s="3">
        <f t="shared" si="1025"/>
        <v>650</v>
      </c>
      <c r="AA167" s="3">
        <f t="shared" si="985"/>
        <v>650</v>
      </c>
      <c r="AB167" s="3">
        <f t="shared" si="915"/>
        <v>650</v>
      </c>
      <c r="AC167" s="3">
        <f t="shared" si="1100"/>
        <v>650</v>
      </c>
      <c r="AD167" s="3">
        <f t="shared" si="1100"/>
        <v>650</v>
      </c>
      <c r="AE167" s="3">
        <f t="shared" si="1100"/>
        <v>650</v>
      </c>
      <c r="AF167" s="3">
        <f t="shared" si="1100"/>
        <v>650</v>
      </c>
      <c r="AG167" s="3">
        <f t="shared" si="1100"/>
        <v>650</v>
      </c>
      <c r="AH167" s="3">
        <f t="shared" si="1100"/>
        <v>650</v>
      </c>
      <c r="AI167" s="3">
        <f t="shared" si="1100"/>
        <v>650</v>
      </c>
      <c r="AJ167" s="3">
        <f t="shared" si="1100"/>
        <v>650</v>
      </c>
      <c r="AK167" s="3">
        <f t="shared" si="1100"/>
        <v>650</v>
      </c>
      <c r="AL167" s="5">
        <v>26</v>
      </c>
      <c r="AM167" s="6">
        <f t="shared" si="1108"/>
        <v>0.23148148148148145</v>
      </c>
      <c r="AP167" s="102"/>
      <c r="AQ167" s="101"/>
      <c r="AR167" s="5">
        <v>26</v>
      </c>
      <c r="AS167" s="6">
        <f t="shared" si="1109"/>
        <v>0.23148148148148145</v>
      </c>
      <c r="AT167" s="3">
        <f t="shared" si="1101"/>
        <v>600</v>
      </c>
      <c r="AU167" s="3">
        <f t="shared" si="1101"/>
        <v>600</v>
      </c>
      <c r="AV167" s="3">
        <f t="shared" si="1101"/>
        <v>600</v>
      </c>
      <c r="AW167" s="3">
        <f t="shared" si="1101"/>
        <v>600</v>
      </c>
      <c r="AX167" s="3">
        <f t="shared" si="1101"/>
        <v>600</v>
      </c>
      <c r="AY167" s="3">
        <f t="shared" si="1101"/>
        <v>600</v>
      </c>
      <c r="AZ167" s="3">
        <f t="shared" si="1101"/>
        <v>600</v>
      </c>
      <c r="BA167" s="3">
        <f t="shared" si="1101"/>
        <v>600</v>
      </c>
      <c r="BB167" s="3">
        <f t="shared" si="1101"/>
        <v>600</v>
      </c>
      <c r="BC167" s="3">
        <f t="shared" si="916"/>
        <v>600</v>
      </c>
      <c r="BD167" s="3">
        <f t="shared" si="986"/>
        <v>600</v>
      </c>
      <c r="BE167" s="3">
        <f t="shared" si="1026"/>
        <v>600</v>
      </c>
      <c r="BF167" s="3">
        <f t="shared" si="1053"/>
        <v>600</v>
      </c>
      <c r="BG167" s="3">
        <f t="shared" si="1087"/>
        <v>600</v>
      </c>
      <c r="BH167" s="3">
        <f t="shared" si="1077"/>
        <v>-2190220399.9634519</v>
      </c>
      <c r="BI167" s="3">
        <f t="shared" si="1078"/>
        <v>-2192384331.6894073</v>
      </c>
      <c r="BJ167" s="3">
        <f t="shared" si="1079"/>
        <v>-2198215127.7407222</v>
      </c>
      <c r="BK167" s="3">
        <f t="shared" si="1088"/>
        <v>650</v>
      </c>
      <c r="BL167" s="3">
        <f t="shared" si="1054"/>
        <v>650</v>
      </c>
      <c r="BM167" s="3">
        <f t="shared" si="1032"/>
        <v>650</v>
      </c>
      <c r="BN167" s="3">
        <f t="shared" si="994"/>
        <v>650</v>
      </c>
      <c r="BO167" s="3">
        <f t="shared" si="928"/>
        <v>650</v>
      </c>
      <c r="BP167" s="3">
        <f t="shared" si="1102"/>
        <v>650</v>
      </c>
      <c r="BQ167" s="3">
        <f t="shared" si="1102"/>
        <v>650</v>
      </c>
      <c r="BR167" s="3">
        <f t="shared" si="1102"/>
        <v>650</v>
      </c>
      <c r="BS167" s="3">
        <f t="shared" si="1102"/>
        <v>650</v>
      </c>
      <c r="BT167" s="3">
        <f t="shared" si="1102"/>
        <v>650</v>
      </c>
      <c r="BU167" s="3">
        <f t="shared" si="1102"/>
        <v>650</v>
      </c>
      <c r="BV167" s="3">
        <f t="shared" si="1102"/>
        <v>650</v>
      </c>
      <c r="BW167" s="3">
        <f t="shared" si="1102"/>
        <v>650</v>
      </c>
      <c r="BX167" s="3">
        <f t="shared" si="1102"/>
        <v>650</v>
      </c>
      <c r="BY167" s="5">
        <v>26</v>
      </c>
      <c r="BZ167" s="6">
        <f t="shared" si="1110"/>
        <v>0.23148148148148145</v>
      </c>
      <c r="CC167" s="94"/>
      <c r="CD167" s="95"/>
      <c r="CE167" s="5">
        <v>26</v>
      </c>
      <c r="CF167" s="6">
        <f t="shared" si="1111"/>
        <v>0.23148148148148145</v>
      </c>
      <c r="CG167" s="3">
        <f t="shared" si="1103"/>
        <v>600</v>
      </c>
      <c r="CH167" s="3">
        <f t="shared" si="1103"/>
        <v>600</v>
      </c>
      <c r="CI167" s="3">
        <f t="shared" si="1103"/>
        <v>600</v>
      </c>
      <c r="CJ167" s="3">
        <f t="shared" si="1103"/>
        <v>600</v>
      </c>
      <c r="CK167" s="3">
        <f t="shared" si="1103"/>
        <v>600</v>
      </c>
      <c r="CL167" s="3">
        <f t="shared" si="1103"/>
        <v>600</v>
      </c>
      <c r="CM167" s="3">
        <f t="shared" si="1103"/>
        <v>600</v>
      </c>
      <c r="CN167" s="3">
        <f t="shared" si="1103"/>
        <v>600</v>
      </c>
      <c r="CO167" s="3">
        <f t="shared" si="1103"/>
        <v>600</v>
      </c>
      <c r="CP167" s="3">
        <f t="shared" si="929"/>
        <v>600</v>
      </c>
      <c r="CQ167" s="3">
        <f t="shared" si="995"/>
        <v>600</v>
      </c>
      <c r="CR167" s="3">
        <f t="shared" si="1033"/>
        <v>600</v>
      </c>
      <c r="CS167" s="3">
        <f t="shared" si="1055"/>
        <v>600</v>
      </c>
      <c r="CT167" s="3">
        <f t="shared" si="1089"/>
        <v>600</v>
      </c>
      <c r="CU167" s="3">
        <f t="shared" si="1090"/>
        <v>0.11667843062533659</v>
      </c>
      <c r="CV167" s="3">
        <f t="shared" si="1091"/>
        <v>0.11667843062533659</v>
      </c>
      <c r="CW167" s="3">
        <f t="shared" si="1092"/>
        <v>0.11667843062533659</v>
      </c>
      <c r="CX167" s="3">
        <f t="shared" si="1093"/>
        <v>650</v>
      </c>
      <c r="CY167" s="3">
        <f t="shared" si="1061"/>
        <v>650</v>
      </c>
      <c r="CZ167" s="3">
        <f t="shared" si="1041"/>
        <v>650</v>
      </c>
      <c r="DA167" s="3">
        <f t="shared" si="1005"/>
        <v>650</v>
      </c>
      <c r="DB167" s="3">
        <f t="shared" si="941"/>
        <v>650</v>
      </c>
      <c r="DC167" s="3">
        <f t="shared" si="1104"/>
        <v>650</v>
      </c>
      <c r="DD167" s="3">
        <f t="shared" si="1104"/>
        <v>650</v>
      </c>
      <c r="DE167" s="3">
        <f t="shared" si="1104"/>
        <v>650</v>
      </c>
      <c r="DF167" s="3">
        <f t="shared" si="1104"/>
        <v>650</v>
      </c>
      <c r="DG167" s="3">
        <f t="shared" si="1104"/>
        <v>650</v>
      </c>
      <c r="DH167" s="3">
        <f t="shared" si="1104"/>
        <v>650</v>
      </c>
      <c r="DI167" s="3">
        <f t="shared" si="1104"/>
        <v>650</v>
      </c>
      <c r="DJ167" s="3">
        <f t="shared" si="1104"/>
        <v>650</v>
      </c>
      <c r="DK167" s="3">
        <f t="shared" si="1104"/>
        <v>650</v>
      </c>
      <c r="DL167" s="5">
        <v>26</v>
      </c>
      <c r="DM167" s="6">
        <f t="shared" si="1112"/>
        <v>0.23148148148148145</v>
      </c>
      <c r="DQ167" s="94"/>
      <c r="DR167" s="95"/>
      <c r="DS167" s="5">
        <v>26</v>
      </c>
      <c r="DT167" s="6">
        <f t="shared" si="1113"/>
        <v>0.23148148148148145</v>
      </c>
      <c r="DU167" s="3">
        <f t="shared" si="1105"/>
        <v>600</v>
      </c>
      <c r="DV167" s="3">
        <f t="shared" si="1105"/>
        <v>600</v>
      </c>
      <c r="DW167" s="3">
        <f t="shared" si="1105"/>
        <v>600</v>
      </c>
      <c r="DX167" s="3">
        <f t="shared" si="1105"/>
        <v>600</v>
      </c>
      <c r="DY167" s="3">
        <f t="shared" si="1105"/>
        <v>600</v>
      </c>
      <c r="DZ167" s="3">
        <f t="shared" si="1105"/>
        <v>600</v>
      </c>
      <c r="EA167" s="3">
        <f t="shared" si="1105"/>
        <v>600</v>
      </c>
      <c r="EB167" s="3">
        <f t="shared" si="1105"/>
        <v>600</v>
      </c>
      <c r="EC167" s="3">
        <f t="shared" si="1105"/>
        <v>600</v>
      </c>
      <c r="ED167" s="3">
        <f t="shared" si="942"/>
        <v>600</v>
      </c>
      <c r="EE167" s="3">
        <f t="shared" si="1006"/>
        <v>600</v>
      </c>
      <c r="EF167" s="3">
        <f t="shared" si="1042"/>
        <v>600</v>
      </c>
      <c r="EG167" s="3">
        <f t="shared" si="1062"/>
        <v>600</v>
      </c>
      <c r="EH167" s="3">
        <f t="shared" si="1094"/>
        <v>600</v>
      </c>
      <c r="EI167" s="3">
        <f t="shared" si="1095"/>
        <v>539.20399326054917</v>
      </c>
      <c r="EJ167" s="3">
        <f t="shared" si="1096"/>
        <v>539.73669639499633</v>
      </c>
      <c r="EK167" s="3">
        <f t="shared" si="1097"/>
        <v>541.17217780279861</v>
      </c>
      <c r="EL167" s="3">
        <f t="shared" si="1098"/>
        <v>650</v>
      </c>
      <c r="EM167" s="3">
        <f t="shared" si="1068"/>
        <v>650</v>
      </c>
      <c r="EN167" s="3">
        <f t="shared" si="1050"/>
        <v>650</v>
      </c>
      <c r="EO167" s="3">
        <f t="shared" si="1016"/>
        <v>650</v>
      </c>
      <c r="EP167" s="3">
        <f t="shared" si="954"/>
        <v>650</v>
      </c>
      <c r="EQ167" s="3">
        <f t="shared" si="1106"/>
        <v>650</v>
      </c>
      <c r="ER167" s="3">
        <f t="shared" si="1106"/>
        <v>650</v>
      </c>
      <c r="ES167" s="3">
        <f t="shared" si="1106"/>
        <v>650</v>
      </c>
      <c r="ET167" s="3">
        <f t="shared" si="1106"/>
        <v>650</v>
      </c>
      <c r="EU167" s="3">
        <f t="shared" si="1106"/>
        <v>650</v>
      </c>
      <c r="EV167" s="3">
        <f t="shared" si="1106"/>
        <v>650</v>
      </c>
      <c r="EW167" s="3">
        <f t="shared" si="1106"/>
        <v>650</v>
      </c>
      <c r="EX167" s="3">
        <f t="shared" si="1106"/>
        <v>650</v>
      </c>
      <c r="EY167" s="3">
        <f t="shared" si="1106"/>
        <v>650</v>
      </c>
      <c r="EZ167" s="5">
        <v>26</v>
      </c>
      <c r="FA167" s="6">
        <f t="shared" si="1114"/>
        <v>0.23148148148148145</v>
      </c>
    </row>
    <row r="168" spans="3:157" x14ac:dyDescent="0.3">
      <c r="C168" s="94"/>
      <c r="D168" s="95"/>
      <c r="E168" s="5">
        <v>25</v>
      </c>
      <c r="F168" s="6">
        <f t="shared" si="1107"/>
        <v>0.22222222222222221</v>
      </c>
      <c r="G168" s="3">
        <f t="shared" ref="G168:O177" si="1115">$R$2</f>
        <v>600</v>
      </c>
      <c r="H168" s="3">
        <f t="shared" si="1115"/>
        <v>600</v>
      </c>
      <c r="I168" s="3">
        <f t="shared" si="1115"/>
        <v>600</v>
      </c>
      <c r="J168" s="3">
        <f t="shared" si="1115"/>
        <v>600</v>
      </c>
      <c r="K168" s="3">
        <f t="shared" si="1115"/>
        <v>600</v>
      </c>
      <c r="L168" s="3">
        <f t="shared" si="1115"/>
        <v>600</v>
      </c>
      <c r="M168" s="3">
        <f t="shared" si="1115"/>
        <v>600</v>
      </c>
      <c r="N168" s="3">
        <f t="shared" si="1115"/>
        <v>600</v>
      </c>
      <c r="O168" s="3">
        <f t="shared" si="1115"/>
        <v>600</v>
      </c>
      <c r="P168" s="3">
        <f t="shared" si="914"/>
        <v>600</v>
      </c>
      <c r="Q168" s="3">
        <f t="shared" si="975"/>
        <v>600</v>
      </c>
      <c r="R168" s="3">
        <f t="shared" si="1017"/>
        <v>600</v>
      </c>
      <c r="S168" s="3">
        <f t="shared" si="1051"/>
        <v>600</v>
      </c>
      <c r="T168" s="3">
        <f t="shared" si="1085"/>
        <v>600</v>
      </c>
      <c r="U168" s="3">
        <f t="shared" si="1071"/>
        <v>610.454571672366</v>
      </c>
      <c r="V168" s="3">
        <f t="shared" si="1072"/>
        <v>611.05822399680187</v>
      </c>
      <c r="W168" s="3">
        <f t="shared" si="1073"/>
        <v>612.6831073896974</v>
      </c>
      <c r="X168" s="3">
        <f t="shared" si="1086"/>
        <v>650</v>
      </c>
      <c r="Y168" s="3">
        <f t="shared" si="1052"/>
        <v>650</v>
      </c>
      <c r="Z168" s="3">
        <f t="shared" si="1025"/>
        <v>650</v>
      </c>
      <c r="AA168" s="3">
        <f t="shared" si="985"/>
        <v>650</v>
      </c>
      <c r="AB168" s="3">
        <f t="shared" si="915"/>
        <v>650</v>
      </c>
      <c r="AC168" s="3">
        <f t="shared" ref="AC168:AK177" si="1116">$R$3</f>
        <v>650</v>
      </c>
      <c r="AD168" s="3">
        <f t="shared" si="1116"/>
        <v>650</v>
      </c>
      <c r="AE168" s="3">
        <f t="shared" si="1116"/>
        <v>650</v>
      </c>
      <c r="AF168" s="3">
        <f t="shared" si="1116"/>
        <v>650</v>
      </c>
      <c r="AG168" s="3">
        <f t="shared" si="1116"/>
        <v>650</v>
      </c>
      <c r="AH168" s="3">
        <f t="shared" si="1116"/>
        <v>650</v>
      </c>
      <c r="AI168" s="3">
        <f t="shared" si="1116"/>
        <v>650</v>
      </c>
      <c r="AJ168" s="3">
        <f t="shared" si="1116"/>
        <v>650</v>
      </c>
      <c r="AK168" s="3">
        <f t="shared" si="1116"/>
        <v>650</v>
      </c>
      <c r="AL168" s="5">
        <v>25</v>
      </c>
      <c r="AM168" s="6">
        <f t="shared" si="1108"/>
        <v>0.22222222222222221</v>
      </c>
      <c r="AP168" s="102"/>
      <c r="AQ168" s="101"/>
      <c r="AR168" s="5">
        <v>25</v>
      </c>
      <c r="AS168" s="6">
        <f t="shared" si="1109"/>
        <v>0.22222222222222221</v>
      </c>
      <c r="AT168" s="3">
        <f t="shared" ref="AT168:BB177" si="1117">$R$2</f>
        <v>600</v>
      </c>
      <c r="AU168" s="3">
        <f t="shared" si="1117"/>
        <v>600</v>
      </c>
      <c r="AV168" s="3">
        <f t="shared" si="1117"/>
        <v>600</v>
      </c>
      <c r="AW168" s="3">
        <f t="shared" si="1117"/>
        <v>600</v>
      </c>
      <c r="AX168" s="3">
        <f t="shared" si="1117"/>
        <v>600</v>
      </c>
      <c r="AY168" s="3">
        <f t="shared" si="1117"/>
        <v>600</v>
      </c>
      <c r="AZ168" s="3">
        <f t="shared" si="1117"/>
        <v>600</v>
      </c>
      <c r="BA168" s="3">
        <f t="shared" si="1117"/>
        <v>600</v>
      </c>
      <c r="BB168" s="3">
        <f t="shared" si="1117"/>
        <v>600</v>
      </c>
      <c r="BC168" s="3">
        <f t="shared" si="916"/>
        <v>600</v>
      </c>
      <c r="BD168" s="3">
        <f t="shared" si="986"/>
        <v>600</v>
      </c>
      <c r="BE168" s="3">
        <f t="shared" si="1026"/>
        <v>600</v>
      </c>
      <c r="BF168" s="3">
        <f t="shared" si="1053"/>
        <v>600</v>
      </c>
      <c r="BG168" s="3">
        <f t="shared" si="1087"/>
        <v>600</v>
      </c>
      <c r="BH168" s="3">
        <f t="shared" si="1077"/>
        <v>-2190302349.6363902</v>
      </c>
      <c r="BI168" s="3">
        <f t="shared" si="1078"/>
        <v>-2192468065.7488866</v>
      </c>
      <c r="BJ168" s="3">
        <f t="shared" si="1079"/>
        <v>-2198298215.6035628</v>
      </c>
      <c r="BK168" s="3">
        <f t="shared" si="1088"/>
        <v>650</v>
      </c>
      <c r="BL168" s="3">
        <f t="shared" si="1054"/>
        <v>650</v>
      </c>
      <c r="BM168" s="3">
        <f t="shared" si="1032"/>
        <v>650</v>
      </c>
      <c r="BN168" s="3">
        <f t="shared" si="994"/>
        <v>650</v>
      </c>
      <c r="BO168" s="3">
        <f t="shared" si="928"/>
        <v>650</v>
      </c>
      <c r="BP168" s="3">
        <f t="shared" ref="BP168:BX177" si="1118">$R$3</f>
        <v>650</v>
      </c>
      <c r="BQ168" s="3">
        <f t="shared" si="1118"/>
        <v>650</v>
      </c>
      <c r="BR168" s="3">
        <f t="shared" si="1118"/>
        <v>650</v>
      </c>
      <c r="BS168" s="3">
        <f t="shared" si="1118"/>
        <v>650</v>
      </c>
      <c r="BT168" s="3">
        <f t="shared" si="1118"/>
        <v>650</v>
      </c>
      <c r="BU168" s="3">
        <f t="shared" si="1118"/>
        <v>650</v>
      </c>
      <c r="BV168" s="3">
        <f t="shared" si="1118"/>
        <v>650</v>
      </c>
      <c r="BW168" s="3">
        <f t="shared" si="1118"/>
        <v>650</v>
      </c>
      <c r="BX168" s="3">
        <f t="shared" si="1118"/>
        <v>650</v>
      </c>
      <c r="BY168" s="5">
        <v>25</v>
      </c>
      <c r="BZ168" s="6">
        <f t="shared" si="1110"/>
        <v>0.22222222222222221</v>
      </c>
      <c r="CC168" s="94"/>
      <c r="CD168" s="95"/>
      <c r="CE168" s="5">
        <v>25</v>
      </c>
      <c r="CF168" s="6">
        <f t="shared" si="1111"/>
        <v>0.22222222222222221</v>
      </c>
      <c r="CG168" s="3">
        <f t="shared" ref="CG168:CO177" si="1119">$R$2</f>
        <v>600</v>
      </c>
      <c r="CH168" s="3">
        <f t="shared" si="1119"/>
        <v>600</v>
      </c>
      <c r="CI168" s="3">
        <f t="shared" si="1119"/>
        <v>600</v>
      </c>
      <c r="CJ168" s="3">
        <f t="shared" si="1119"/>
        <v>600</v>
      </c>
      <c r="CK168" s="3">
        <f t="shared" si="1119"/>
        <v>600</v>
      </c>
      <c r="CL168" s="3">
        <f t="shared" si="1119"/>
        <v>600</v>
      </c>
      <c r="CM168" s="3">
        <f t="shared" si="1119"/>
        <v>600</v>
      </c>
      <c r="CN168" s="3">
        <f t="shared" si="1119"/>
        <v>600</v>
      </c>
      <c r="CO168" s="3">
        <f t="shared" si="1119"/>
        <v>600</v>
      </c>
      <c r="CP168" s="3">
        <f t="shared" si="929"/>
        <v>600</v>
      </c>
      <c r="CQ168" s="3">
        <f t="shared" si="995"/>
        <v>600</v>
      </c>
      <c r="CR168" s="3">
        <f t="shared" si="1033"/>
        <v>600</v>
      </c>
      <c r="CS168" s="3">
        <f t="shared" si="1055"/>
        <v>600</v>
      </c>
      <c r="CT168" s="3">
        <f t="shared" si="1089"/>
        <v>600</v>
      </c>
      <c r="CU168" s="3">
        <f t="shared" si="1090"/>
        <v>0.11667843062533659</v>
      </c>
      <c r="CV168" s="3">
        <f t="shared" si="1091"/>
        <v>0.11667843062533659</v>
      </c>
      <c r="CW168" s="3">
        <f t="shared" si="1092"/>
        <v>0.11667843062533659</v>
      </c>
      <c r="CX168" s="3">
        <f t="shared" si="1093"/>
        <v>650</v>
      </c>
      <c r="CY168" s="3">
        <f t="shared" si="1061"/>
        <v>650</v>
      </c>
      <c r="CZ168" s="3">
        <f t="shared" si="1041"/>
        <v>650</v>
      </c>
      <c r="DA168" s="3">
        <f t="shared" si="1005"/>
        <v>650</v>
      </c>
      <c r="DB168" s="3">
        <f t="shared" si="941"/>
        <v>650</v>
      </c>
      <c r="DC168" s="3">
        <f t="shared" ref="DC168:DK177" si="1120">$R$3</f>
        <v>650</v>
      </c>
      <c r="DD168" s="3">
        <f t="shared" si="1120"/>
        <v>650</v>
      </c>
      <c r="DE168" s="3">
        <f t="shared" si="1120"/>
        <v>650</v>
      </c>
      <c r="DF168" s="3">
        <f t="shared" si="1120"/>
        <v>650</v>
      </c>
      <c r="DG168" s="3">
        <f t="shared" si="1120"/>
        <v>650</v>
      </c>
      <c r="DH168" s="3">
        <f t="shared" si="1120"/>
        <v>650</v>
      </c>
      <c r="DI168" s="3">
        <f t="shared" si="1120"/>
        <v>650</v>
      </c>
      <c r="DJ168" s="3">
        <f t="shared" si="1120"/>
        <v>650</v>
      </c>
      <c r="DK168" s="3">
        <f t="shared" si="1120"/>
        <v>650</v>
      </c>
      <c r="DL168" s="5">
        <v>25</v>
      </c>
      <c r="DM168" s="6">
        <f t="shared" si="1112"/>
        <v>0.22222222222222221</v>
      </c>
      <c r="DQ168" s="94"/>
      <c r="DR168" s="95"/>
      <c r="DS168" s="5">
        <v>25</v>
      </c>
      <c r="DT168" s="6">
        <f t="shared" si="1113"/>
        <v>0.22222222222222221</v>
      </c>
      <c r="DU168" s="3">
        <f t="shared" ref="DU168:EC177" si="1121">$R$2</f>
        <v>600</v>
      </c>
      <c r="DV168" s="3">
        <f t="shared" si="1121"/>
        <v>600</v>
      </c>
      <c r="DW168" s="3">
        <f t="shared" si="1121"/>
        <v>600</v>
      </c>
      <c r="DX168" s="3">
        <f t="shared" si="1121"/>
        <v>600</v>
      </c>
      <c r="DY168" s="3">
        <f t="shared" si="1121"/>
        <v>600</v>
      </c>
      <c r="DZ168" s="3">
        <f t="shared" si="1121"/>
        <v>600</v>
      </c>
      <c r="EA168" s="3">
        <f t="shared" si="1121"/>
        <v>600</v>
      </c>
      <c r="EB168" s="3">
        <f t="shared" si="1121"/>
        <v>600</v>
      </c>
      <c r="EC168" s="3">
        <f t="shared" si="1121"/>
        <v>600</v>
      </c>
      <c r="ED168" s="3">
        <f t="shared" si="942"/>
        <v>600</v>
      </c>
      <c r="EE168" s="3">
        <f t="shared" si="1006"/>
        <v>600</v>
      </c>
      <c r="EF168" s="3">
        <f t="shared" si="1042"/>
        <v>600</v>
      </c>
      <c r="EG168" s="3">
        <f t="shared" si="1062"/>
        <v>600</v>
      </c>
      <c r="EH168" s="3">
        <f t="shared" si="1094"/>
        <v>600</v>
      </c>
      <c r="EI168" s="3">
        <f t="shared" si="1095"/>
        <v>539.22304352964716</v>
      </c>
      <c r="EJ168" s="3">
        <f t="shared" si="1096"/>
        <v>539.75616146799234</v>
      </c>
      <c r="EK168" s="3">
        <f t="shared" si="1097"/>
        <v>541.19149265896738</v>
      </c>
      <c r="EL168" s="3">
        <f t="shared" si="1098"/>
        <v>650</v>
      </c>
      <c r="EM168" s="3">
        <f t="shared" si="1068"/>
        <v>650</v>
      </c>
      <c r="EN168" s="3">
        <f t="shared" si="1050"/>
        <v>650</v>
      </c>
      <c r="EO168" s="3">
        <f t="shared" si="1016"/>
        <v>650</v>
      </c>
      <c r="EP168" s="3">
        <f t="shared" si="954"/>
        <v>650</v>
      </c>
      <c r="EQ168" s="3">
        <f t="shared" ref="EQ168:EY177" si="1122">$R$3</f>
        <v>650</v>
      </c>
      <c r="ER168" s="3">
        <f t="shared" si="1122"/>
        <v>650</v>
      </c>
      <c r="ES168" s="3">
        <f t="shared" si="1122"/>
        <v>650</v>
      </c>
      <c r="ET168" s="3">
        <f t="shared" si="1122"/>
        <v>650</v>
      </c>
      <c r="EU168" s="3">
        <f t="shared" si="1122"/>
        <v>650</v>
      </c>
      <c r="EV168" s="3">
        <f t="shared" si="1122"/>
        <v>650</v>
      </c>
      <c r="EW168" s="3">
        <f t="shared" si="1122"/>
        <v>650</v>
      </c>
      <c r="EX168" s="3">
        <f t="shared" si="1122"/>
        <v>650</v>
      </c>
      <c r="EY168" s="3">
        <f t="shared" si="1122"/>
        <v>650</v>
      </c>
      <c r="EZ168" s="5">
        <v>25</v>
      </c>
      <c r="FA168" s="6">
        <f t="shared" si="1114"/>
        <v>0.22222222222222221</v>
      </c>
    </row>
    <row r="169" spans="3:157" x14ac:dyDescent="0.3">
      <c r="C169" s="94"/>
      <c r="D169" s="95"/>
      <c r="E169" s="5">
        <v>24</v>
      </c>
      <c r="F169" s="6">
        <f t="shared" si="1107"/>
        <v>0.21296296296296297</v>
      </c>
      <c r="G169" s="3">
        <f t="shared" si="1115"/>
        <v>600</v>
      </c>
      <c r="H169" s="3">
        <f t="shared" si="1115"/>
        <v>600</v>
      </c>
      <c r="I169" s="3">
        <f t="shared" si="1115"/>
        <v>600</v>
      </c>
      <c r="J169" s="3">
        <f t="shared" si="1115"/>
        <v>600</v>
      </c>
      <c r="K169" s="3">
        <f t="shared" si="1115"/>
        <v>600</v>
      </c>
      <c r="L169" s="3">
        <f t="shared" si="1115"/>
        <v>600</v>
      </c>
      <c r="M169" s="3">
        <f t="shared" si="1115"/>
        <v>600</v>
      </c>
      <c r="N169" s="3">
        <f t="shared" si="1115"/>
        <v>600</v>
      </c>
      <c r="O169" s="3">
        <f t="shared" si="1115"/>
        <v>600</v>
      </c>
      <c r="P169" s="3">
        <f t="shared" si="914"/>
        <v>600</v>
      </c>
      <c r="Q169" s="3">
        <f t="shared" si="975"/>
        <v>600</v>
      </c>
      <c r="R169" s="3">
        <f t="shared" si="1017"/>
        <v>600</v>
      </c>
      <c r="S169" s="3">
        <f t="shared" si="1051"/>
        <v>600</v>
      </c>
      <c r="T169" s="3">
        <f t="shared" si="1085"/>
        <v>600</v>
      </c>
      <c r="U169" s="3">
        <f t="shared" si="1071"/>
        <v>610.49439695884098</v>
      </c>
      <c r="V169" s="3">
        <f t="shared" si="1072"/>
        <v>611.09891645496998</v>
      </c>
      <c r="W169" s="3">
        <f t="shared" si="1073"/>
        <v>612.72348580257437</v>
      </c>
      <c r="X169" s="3">
        <f t="shared" si="1086"/>
        <v>650</v>
      </c>
      <c r="Y169" s="3">
        <f t="shared" si="1052"/>
        <v>650</v>
      </c>
      <c r="Z169" s="3">
        <f t="shared" si="1025"/>
        <v>650</v>
      </c>
      <c r="AA169" s="3">
        <f t="shared" si="985"/>
        <v>650</v>
      </c>
      <c r="AB169" s="3">
        <f t="shared" si="915"/>
        <v>650</v>
      </c>
      <c r="AC169" s="3">
        <f t="shared" si="1116"/>
        <v>650</v>
      </c>
      <c r="AD169" s="3">
        <f t="shared" si="1116"/>
        <v>650</v>
      </c>
      <c r="AE169" s="3">
        <f t="shared" si="1116"/>
        <v>650</v>
      </c>
      <c r="AF169" s="3">
        <f t="shared" si="1116"/>
        <v>650</v>
      </c>
      <c r="AG169" s="3">
        <f t="shared" si="1116"/>
        <v>650</v>
      </c>
      <c r="AH169" s="3">
        <f t="shared" si="1116"/>
        <v>650</v>
      </c>
      <c r="AI169" s="3">
        <f t="shared" si="1116"/>
        <v>650</v>
      </c>
      <c r="AJ169" s="3">
        <f t="shared" si="1116"/>
        <v>650</v>
      </c>
      <c r="AK169" s="3">
        <f t="shared" si="1116"/>
        <v>650</v>
      </c>
      <c r="AL169" s="5">
        <v>24</v>
      </c>
      <c r="AM169" s="6">
        <f t="shared" si="1108"/>
        <v>0.21296296296296297</v>
      </c>
      <c r="AP169" s="102"/>
      <c r="AQ169" s="101"/>
      <c r="AR169" s="5">
        <v>24</v>
      </c>
      <c r="AS169" s="6">
        <f t="shared" si="1109"/>
        <v>0.21296296296296297</v>
      </c>
      <c r="AT169" s="3">
        <f t="shared" si="1117"/>
        <v>600</v>
      </c>
      <c r="AU169" s="3">
        <f t="shared" si="1117"/>
        <v>600</v>
      </c>
      <c r="AV169" s="3">
        <f t="shared" si="1117"/>
        <v>600</v>
      </c>
      <c r="AW169" s="3">
        <f t="shared" si="1117"/>
        <v>600</v>
      </c>
      <c r="AX169" s="3">
        <f t="shared" si="1117"/>
        <v>600</v>
      </c>
      <c r="AY169" s="3">
        <f t="shared" si="1117"/>
        <v>600</v>
      </c>
      <c r="AZ169" s="3">
        <f t="shared" si="1117"/>
        <v>600</v>
      </c>
      <c r="BA169" s="3">
        <f t="shared" si="1117"/>
        <v>600</v>
      </c>
      <c r="BB169" s="3">
        <f t="shared" si="1117"/>
        <v>600</v>
      </c>
      <c r="BC169" s="3">
        <f t="shared" si="916"/>
        <v>600</v>
      </c>
      <c r="BD169" s="3">
        <f t="shared" si="986"/>
        <v>600</v>
      </c>
      <c r="BE169" s="3">
        <f t="shared" si="1026"/>
        <v>600</v>
      </c>
      <c r="BF169" s="3">
        <f t="shared" si="1053"/>
        <v>600</v>
      </c>
      <c r="BG169" s="3">
        <f t="shared" si="1087"/>
        <v>600</v>
      </c>
      <c r="BH169" s="3">
        <f t="shared" si="1077"/>
        <v>-2190440099.2828431</v>
      </c>
      <c r="BI169" s="3">
        <f t="shared" si="1078"/>
        <v>-2192608814.780283</v>
      </c>
      <c r="BJ169" s="3">
        <f t="shared" si="1079"/>
        <v>-2198437878.439549</v>
      </c>
      <c r="BK169" s="3">
        <f t="shared" si="1088"/>
        <v>650</v>
      </c>
      <c r="BL169" s="3">
        <f t="shared" si="1054"/>
        <v>650</v>
      </c>
      <c r="BM169" s="3">
        <f t="shared" si="1032"/>
        <v>650</v>
      </c>
      <c r="BN169" s="3">
        <f t="shared" si="994"/>
        <v>650</v>
      </c>
      <c r="BO169" s="3">
        <f t="shared" si="928"/>
        <v>650</v>
      </c>
      <c r="BP169" s="3">
        <f t="shared" si="1118"/>
        <v>650</v>
      </c>
      <c r="BQ169" s="3">
        <f t="shared" si="1118"/>
        <v>650</v>
      </c>
      <c r="BR169" s="3">
        <f t="shared" si="1118"/>
        <v>650</v>
      </c>
      <c r="BS169" s="3">
        <f t="shared" si="1118"/>
        <v>650</v>
      </c>
      <c r="BT169" s="3">
        <f t="shared" si="1118"/>
        <v>650</v>
      </c>
      <c r="BU169" s="3">
        <f t="shared" si="1118"/>
        <v>650</v>
      </c>
      <c r="BV169" s="3">
        <f t="shared" si="1118"/>
        <v>650</v>
      </c>
      <c r="BW169" s="3">
        <f t="shared" si="1118"/>
        <v>650</v>
      </c>
      <c r="BX169" s="3">
        <f t="shared" si="1118"/>
        <v>650</v>
      </c>
      <c r="BY169" s="5">
        <v>24</v>
      </c>
      <c r="BZ169" s="6">
        <f t="shared" si="1110"/>
        <v>0.21296296296296297</v>
      </c>
      <c r="CC169" s="94"/>
      <c r="CD169" s="95"/>
      <c r="CE169" s="5">
        <v>24</v>
      </c>
      <c r="CF169" s="6">
        <f t="shared" si="1111"/>
        <v>0.21296296296296297</v>
      </c>
      <c r="CG169" s="3">
        <f t="shared" si="1119"/>
        <v>600</v>
      </c>
      <c r="CH169" s="3">
        <f t="shared" si="1119"/>
        <v>600</v>
      </c>
      <c r="CI169" s="3">
        <f t="shared" si="1119"/>
        <v>600</v>
      </c>
      <c r="CJ169" s="3">
        <f t="shared" si="1119"/>
        <v>600</v>
      </c>
      <c r="CK169" s="3">
        <f t="shared" si="1119"/>
        <v>600</v>
      </c>
      <c r="CL169" s="3">
        <f t="shared" si="1119"/>
        <v>600</v>
      </c>
      <c r="CM169" s="3">
        <f t="shared" si="1119"/>
        <v>600</v>
      </c>
      <c r="CN169" s="3">
        <f t="shared" si="1119"/>
        <v>600</v>
      </c>
      <c r="CO169" s="3">
        <f t="shared" si="1119"/>
        <v>600</v>
      </c>
      <c r="CP169" s="3">
        <f t="shared" si="929"/>
        <v>600</v>
      </c>
      <c r="CQ169" s="3">
        <f t="shared" si="995"/>
        <v>600</v>
      </c>
      <c r="CR169" s="3">
        <f t="shared" si="1033"/>
        <v>600</v>
      </c>
      <c r="CS169" s="3">
        <f t="shared" si="1055"/>
        <v>600</v>
      </c>
      <c r="CT169" s="3">
        <f t="shared" si="1089"/>
        <v>600</v>
      </c>
      <c r="CU169" s="3">
        <f t="shared" si="1090"/>
        <v>0.11667843062533659</v>
      </c>
      <c r="CV169" s="3">
        <f t="shared" si="1091"/>
        <v>0.11667843062533659</v>
      </c>
      <c r="CW169" s="3">
        <f t="shared" si="1092"/>
        <v>0.11667843062533659</v>
      </c>
      <c r="CX169" s="3">
        <f t="shared" si="1093"/>
        <v>650</v>
      </c>
      <c r="CY169" s="3">
        <f t="shared" si="1061"/>
        <v>650</v>
      </c>
      <c r="CZ169" s="3">
        <f t="shared" si="1041"/>
        <v>650</v>
      </c>
      <c r="DA169" s="3">
        <f t="shared" si="1005"/>
        <v>650</v>
      </c>
      <c r="DB169" s="3">
        <f t="shared" si="941"/>
        <v>650</v>
      </c>
      <c r="DC169" s="3">
        <f t="shared" si="1120"/>
        <v>650</v>
      </c>
      <c r="DD169" s="3">
        <f t="shared" si="1120"/>
        <v>650</v>
      </c>
      <c r="DE169" s="3">
        <f t="shared" si="1120"/>
        <v>650</v>
      </c>
      <c r="DF169" s="3">
        <f t="shared" si="1120"/>
        <v>650</v>
      </c>
      <c r="DG169" s="3">
        <f t="shared" si="1120"/>
        <v>650</v>
      </c>
      <c r="DH169" s="3">
        <f t="shared" si="1120"/>
        <v>650</v>
      </c>
      <c r="DI169" s="3">
        <f t="shared" si="1120"/>
        <v>650</v>
      </c>
      <c r="DJ169" s="3">
        <f t="shared" si="1120"/>
        <v>650</v>
      </c>
      <c r="DK169" s="3">
        <f t="shared" si="1120"/>
        <v>650</v>
      </c>
      <c r="DL169" s="5">
        <v>24</v>
      </c>
      <c r="DM169" s="6">
        <f t="shared" si="1112"/>
        <v>0.21296296296296297</v>
      </c>
      <c r="DQ169" s="94"/>
      <c r="DR169" s="95"/>
      <c r="DS169" s="5">
        <v>24</v>
      </c>
      <c r="DT169" s="6">
        <f t="shared" si="1113"/>
        <v>0.21296296296296297</v>
      </c>
      <c r="DU169" s="3">
        <f t="shared" si="1121"/>
        <v>600</v>
      </c>
      <c r="DV169" s="3">
        <f t="shared" si="1121"/>
        <v>600</v>
      </c>
      <c r="DW169" s="3">
        <f t="shared" si="1121"/>
        <v>600</v>
      </c>
      <c r="DX169" s="3">
        <f t="shared" si="1121"/>
        <v>600</v>
      </c>
      <c r="DY169" s="3">
        <f t="shared" si="1121"/>
        <v>600</v>
      </c>
      <c r="DZ169" s="3">
        <f t="shared" si="1121"/>
        <v>600</v>
      </c>
      <c r="EA169" s="3">
        <f t="shared" si="1121"/>
        <v>600</v>
      </c>
      <c r="EB169" s="3">
        <f t="shared" si="1121"/>
        <v>600</v>
      </c>
      <c r="EC169" s="3">
        <f t="shared" si="1121"/>
        <v>600</v>
      </c>
      <c r="ED169" s="3">
        <f t="shared" si="942"/>
        <v>600</v>
      </c>
      <c r="EE169" s="3">
        <f t="shared" si="1006"/>
        <v>600</v>
      </c>
      <c r="EF169" s="3">
        <f t="shared" si="1042"/>
        <v>600</v>
      </c>
      <c r="EG169" s="3">
        <f t="shared" si="1062"/>
        <v>600</v>
      </c>
      <c r="EH169" s="3">
        <f t="shared" si="1094"/>
        <v>600</v>
      </c>
      <c r="EI169" s="3">
        <f t="shared" si="1095"/>
        <v>539.25522172695253</v>
      </c>
      <c r="EJ169" s="3">
        <f t="shared" si="1096"/>
        <v>539.78904031900527</v>
      </c>
      <c r="EK169" s="3">
        <f t="shared" si="1097"/>
        <v>541.22411777567959</v>
      </c>
      <c r="EL169" s="3">
        <f t="shared" si="1098"/>
        <v>650</v>
      </c>
      <c r="EM169" s="3">
        <f t="shared" si="1068"/>
        <v>650</v>
      </c>
      <c r="EN169" s="3">
        <f t="shared" si="1050"/>
        <v>650</v>
      </c>
      <c r="EO169" s="3">
        <f t="shared" si="1016"/>
        <v>650</v>
      </c>
      <c r="EP169" s="3">
        <f t="shared" si="954"/>
        <v>650</v>
      </c>
      <c r="EQ169" s="3">
        <f t="shared" si="1122"/>
        <v>650</v>
      </c>
      <c r="ER169" s="3">
        <f t="shared" si="1122"/>
        <v>650</v>
      </c>
      <c r="ES169" s="3">
        <f t="shared" si="1122"/>
        <v>650</v>
      </c>
      <c r="ET169" s="3">
        <f t="shared" si="1122"/>
        <v>650</v>
      </c>
      <c r="EU169" s="3">
        <f t="shared" si="1122"/>
        <v>650</v>
      </c>
      <c r="EV169" s="3">
        <f t="shared" si="1122"/>
        <v>650</v>
      </c>
      <c r="EW169" s="3">
        <f t="shared" si="1122"/>
        <v>650</v>
      </c>
      <c r="EX169" s="3">
        <f t="shared" si="1122"/>
        <v>650</v>
      </c>
      <c r="EY169" s="3">
        <f t="shared" si="1122"/>
        <v>650</v>
      </c>
      <c r="EZ169" s="5">
        <v>24</v>
      </c>
      <c r="FA169" s="6">
        <f t="shared" si="1114"/>
        <v>0.21296296296296297</v>
      </c>
    </row>
    <row r="170" spans="3:157" x14ac:dyDescent="0.3">
      <c r="C170" s="94"/>
      <c r="D170" s="95"/>
      <c r="E170" s="5">
        <v>23</v>
      </c>
      <c r="F170" s="6">
        <f t="shared" si="1107"/>
        <v>0.20370370370370369</v>
      </c>
      <c r="G170" s="3">
        <f t="shared" si="1115"/>
        <v>600</v>
      </c>
      <c r="H170" s="3">
        <f t="shared" si="1115"/>
        <v>600</v>
      </c>
      <c r="I170" s="3">
        <f t="shared" si="1115"/>
        <v>600</v>
      </c>
      <c r="J170" s="3">
        <f t="shared" si="1115"/>
        <v>600</v>
      </c>
      <c r="K170" s="3">
        <f t="shared" si="1115"/>
        <v>600</v>
      </c>
      <c r="L170" s="3">
        <f t="shared" si="1115"/>
        <v>600</v>
      </c>
      <c r="M170" s="3">
        <f t="shared" si="1115"/>
        <v>600</v>
      </c>
      <c r="N170" s="3">
        <f t="shared" si="1115"/>
        <v>600</v>
      </c>
      <c r="O170" s="3">
        <f t="shared" si="1115"/>
        <v>600</v>
      </c>
      <c r="P170" s="3">
        <f t="shared" si="914"/>
        <v>600</v>
      </c>
      <c r="Q170" s="3">
        <f t="shared" si="975"/>
        <v>600</v>
      </c>
      <c r="R170" s="3">
        <f t="shared" si="1017"/>
        <v>600</v>
      </c>
      <c r="S170" s="3">
        <f t="shared" si="1051"/>
        <v>600</v>
      </c>
      <c r="T170" s="3">
        <f t="shared" si="1085"/>
        <v>600</v>
      </c>
      <c r="U170" s="3">
        <f t="shared" si="1071"/>
        <v>610.55993682879455</v>
      </c>
      <c r="V170" s="3">
        <f t="shared" si="1072"/>
        <v>611.16588347803747</v>
      </c>
      <c r="W170" s="3">
        <f t="shared" si="1073"/>
        <v>612.78993592641564</v>
      </c>
      <c r="X170" s="3">
        <f t="shared" si="1086"/>
        <v>650</v>
      </c>
      <c r="Y170" s="3">
        <f t="shared" si="1052"/>
        <v>650</v>
      </c>
      <c r="Z170" s="3">
        <f t="shared" si="1025"/>
        <v>650</v>
      </c>
      <c r="AA170" s="3">
        <f t="shared" si="985"/>
        <v>650</v>
      </c>
      <c r="AB170" s="3">
        <f t="shared" si="915"/>
        <v>650</v>
      </c>
      <c r="AC170" s="3">
        <f t="shared" si="1116"/>
        <v>650</v>
      </c>
      <c r="AD170" s="3">
        <f t="shared" si="1116"/>
        <v>650</v>
      </c>
      <c r="AE170" s="3">
        <f t="shared" si="1116"/>
        <v>650</v>
      </c>
      <c r="AF170" s="3">
        <f t="shared" si="1116"/>
        <v>650</v>
      </c>
      <c r="AG170" s="3">
        <f t="shared" si="1116"/>
        <v>650</v>
      </c>
      <c r="AH170" s="3">
        <f t="shared" si="1116"/>
        <v>650</v>
      </c>
      <c r="AI170" s="3">
        <f t="shared" si="1116"/>
        <v>650</v>
      </c>
      <c r="AJ170" s="3">
        <f t="shared" si="1116"/>
        <v>650</v>
      </c>
      <c r="AK170" s="3">
        <f t="shared" si="1116"/>
        <v>650</v>
      </c>
      <c r="AL170" s="5">
        <v>23</v>
      </c>
      <c r="AM170" s="6">
        <f t="shared" si="1108"/>
        <v>0.20370370370370369</v>
      </c>
      <c r="AP170" s="102"/>
      <c r="AQ170" s="101"/>
      <c r="AR170" s="5">
        <v>23</v>
      </c>
      <c r="AS170" s="6">
        <f t="shared" si="1109"/>
        <v>0.20370370370370369</v>
      </c>
      <c r="AT170" s="3">
        <f t="shared" si="1117"/>
        <v>600</v>
      </c>
      <c r="AU170" s="3">
        <f t="shared" si="1117"/>
        <v>600</v>
      </c>
      <c r="AV170" s="3">
        <f t="shared" si="1117"/>
        <v>600</v>
      </c>
      <c r="AW170" s="3">
        <f t="shared" si="1117"/>
        <v>600</v>
      </c>
      <c r="AX170" s="3">
        <f t="shared" si="1117"/>
        <v>600</v>
      </c>
      <c r="AY170" s="3">
        <f t="shared" si="1117"/>
        <v>600</v>
      </c>
      <c r="AZ170" s="3">
        <f t="shared" si="1117"/>
        <v>600</v>
      </c>
      <c r="BA170" s="3">
        <f t="shared" si="1117"/>
        <v>600</v>
      </c>
      <c r="BB170" s="3">
        <f t="shared" si="1117"/>
        <v>600</v>
      </c>
      <c r="BC170" s="3">
        <f t="shared" si="916"/>
        <v>600</v>
      </c>
      <c r="BD170" s="3">
        <f t="shared" si="986"/>
        <v>600</v>
      </c>
      <c r="BE170" s="3">
        <f t="shared" si="1026"/>
        <v>600</v>
      </c>
      <c r="BF170" s="3">
        <f t="shared" si="1053"/>
        <v>600</v>
      </c>
      <c r="BG170" s="3">
        <f t="shared" si="1087"/>
        <v>600</v>
      </c>
      <c r="BH170" s="3">
        <f t="shared" si="1077"/>
        <v>-2190666821.078423</v>
      </c>
      <c r="BI170" s="3">
        <f t="shared" si="1078"/>
        <v>-2192840473.2559752</v>
      </c>
      <c r="BJ170" s="3">
        <f t="shared" si="1079"/>
        <v>-2198667749.1489568</v>
      </c>
      <c r="BK170" s="3">
        <f t="shared" si="1088"/>
        <v>650</v>
      </c>
      <c r="BL170" s="3">
        <f t="shared" si="1054"/>
        <v>650</v>
      </c>
      <c r="BM170" s="3">
        <f t="shared" si="1032"/>
        <v>650</v>
      </c>
      <c r="BN170" s="3">
        <f t="shared" si="994"/>
        <v>650</v>
      </c>
      <c r="BO170" s="3">
        <f t="shared" si="928"/>
        <v>650</v>
      </c>
      <c r="BP170" s="3">
        <f t="shared" si="1118"/>
        <v>650</v>
      </c>
      <c r="BQ170" s="3">
        <f t="shared" si="1118"/>
        <v>650</v>
      </c>
      <c r="BR170" s="3">
        <f t="shared" si="1118"/>
        <v>650</v>
      </c>
      <c r="BS170" s="3">
        <f t="shared" si="1118"/>
        <v>650</v>
      </c>
      <c r="BT170" s="3">
        <f t="shared" si="1118"/>
        <v>650</v>
      </c>
      <c r="BU170" s="3">
        <f t="shared" si="1118"/>
        <v>650</v>
      </c>
      <c r="BV170" s="3">
        <f t="shared" si="1118"/>
        <v>650</v>
      </c>
      <c r="BW170" s="3">
        <f t="shared" si="1118"/>
        <v>650</v>
      </c>
      <c r="BX170" s="3">
        <f t="shared" si="1118"/>
        <v>650</v>
      </c>
      <c r="BY170" s="5">
        <v>23</v>
      </c>
      <c r="BZ170" s="6">
        <f t="shared" si="1110"/>
        <v>0.20370370370370369</v>
      </c>
      <c r="CC170" s="94"/>
      <c r="CD170" s="95"/>
      <c r="CE170" s="5">
        <v>23</v>
      </c>
      <c r="CF170" s="6">
        <f t="shared" si="1111"/>
        <v>0.20370370370370369</v>
      </c>
      <c r="CG170" s="3">
        <f t="shared" si="1119"/>
        <v>600</v>
      </c>
      <c r="CH170" s="3">
        <f t="shared" si="1119"/>
        <v>600</v>
      </c>
      <c r="CI170" s="3">
        <f t="shared" si="1119"/>
        <v>600</v>
      </c>
      <c r="CJ170" s="3">
        <f t="shared" si="1119"/>
        <v>600</v>
      </c>
      <c r="CK170" s="3">
        <f t="shared" si="1119"/>
        <v>600</v>
      </c>
      <c r="CL170" s="3">
        <f t="shared" si="1119"/>
        <v>600</v>
      </c>
      <c r="CM170" s="3">
        <f t="shared" si="1119"/>
        <v>600</v>
      </c>
      <c r="CN170" s="3">
        <f t="shared" si="1119"/>
        <v>600</v>
      </c>
      <c r="CO170" s="3">
        <f t="shared" si="1119"/>
        <v>600</v>
      </c>
      <c r="CP170" s="3">
        <f t="shared" si="929"/>
        <v>600</v>
      </c>
      <c r="CQ170" s="3">
        <f t="shared" si="995"/>
        <v>600</v>
      </c>
      <c r="CR170" s="3">
        <f t="shared" si="1033"/>
        <v>600</v>
      </c>
      <c r="CS170" s="3">
        <f t="shared" si="1055"/>
        <v>600</v>
      </c>
      <c r="CT170" s="3">
        <f t="shared" si="1089"/>
        <v>600</v>
      </c>
      <c r="CU170" s="3">
        <f t="shared" si="1090"/>
        <v>0.11667843062533659</v>
      </c>
      <c r="CV170" s="3">
        <f t="shared" si="1091"/>
        <v>0.11667843062533659</v>
      </c>
      <c r="CW170" s="3">
        <f t="shared" si="1092"/>
        <v>0.11667843062533659</v>
      </c>
      <c r="CX170" s="3">
        <f t="shared" si="1093"/>
        <v>650</v>
      </c>
      <c r="CY170" s="3">
        <f t="shared" si="1061"/>
        <v>650</v>
      </c>
      <c r="CZ170" s="3">
        <f t="shared" si="1041"/>
        <v>650</v>
      </c>
      <c r="DA170" s="3">
        <f t="shared" si="1005"/>
        <v>650</v>
      </c>
      <c r="DB170" s="3">
        <f t="shared" si="941"/>
        <v>650</v>
      </c>
      <c r="DC170" s="3">
        <f t="shared" si="1120"/>
        <v>650</v>
      </c>
      <c r="DD170" s="3">
        <f t="shared" si="1120"/>
        <v>650</v>
      </c>
      <c r="DE170" s="3">
        <f t="shared" si="1120"/>
        <v>650</v>
      </c>
      <c r="DF170" s="3">
        <f t="shared" si="1120"/>
        <v>650</v>
      </c>
      <c r="DG170" s="3">
        <f t="shared" si="1120"/>
        <v>650</v>
      </c>
      <c r="DH170" s="3">
        <f t="shared" si="1120"/>
        <v>650</v>
      </c>
      <c r="DI170" s="3">
        <f t="shared" si="1120"/>
        <v>650</v>
      </c>
      <c r="DJ170" s="3">
        <f t="shared" si="1120"/>
        <v>650</v>
      </c>
      <c r="DK170" s="3">
        <f t="shared" si="1120"/>
        <v>650</v>
      </c>
      <c r="DL170" s="5">
        <v>23</v>
      </c>
      <c r="DM170" s="6">
        <f t="shared" si="1112"/>
        <v>0.20370370370370369</v>
      </c>
      <c r="DQ170" s="94"/>
      <c r="DR170" s="95"/>
      <c r="DS170" s="5">
        <v>23</v>
      </c>
      <c r="DT170" s="6">
        <f t="shared" si="1113"/>
        <v>0.20370370370370369</v>
      </c>
      <c r="DU170" s="3">
        <f t="shared" si="1121"/>
        <v>600</v>
      </c>
      <c r="DV170" s="3">
        <f t="shared" si="1121"/>
        <v>600</v>
      </c>
      <c r="DW170" s="3">
        <f t="shared" si="1121"/>
        <v>600</v>
      </c>
      <c r="DX170" s="3">
        <f t="shared" si="1121"/>
        <v>600</v>
      </c>
      <c r="DY170" s="3">
        <f t="shared" si="1121"/>
        <v>600</v>
      </c>
      <c r="DZ170" s="3">
        <f t="shared" si="1121"/>
        <v>600</v>
      </c>
      <c r="EA170" s="3">
        <f t="shared" si="1121"/>
        <v>600</v>
      </c>
      <c r="EB170" s="3">
        <f t="shared" si="1121"/>
        <v>600</v>
      </c>
      <c r="EC170" s="3">
        <f t="shared" si="1121"/>
        <v>600</v>
      </c>
      <c r="ED170" s="3">
        <f t="shared" si="942"/>
        <v>600</v>
      </c>
      <c r="EE170" s="3">
        <f t="shared" si="1006"/>
        <v>600</v>
      </c>
      <c r="EF170" s="3">
        <f t="shared" si="1042"/>
        <v>600</v>
      </c>
      <c r="EG170" s="3">
        <f t="shared" si="1062"/>
        <v>600</v>
      </c>
      <c r="EH170" s="3">
        <f t="shared" si="1094"/>
        <v>600</v>
      </c>
      <c r="EI170" s="3">
        <f t="shared" si="1095"/>
        <v>539.30827981460766</v>
      </c>
      <c r="EJ170" s="3">
        <f t="shared" si="1096"/>
        <v>539.84325370276008</v>
      </c>
      <c r="EK170" s="3">
        <f t="shared" si="1097"/>
        <v>541.27791278121902</v>
      </c>
      <c r="EL170" s="3">
        <f t="shared" si="1098"/>
        <v>650</v>
      </c>
      <c r="EM170" s="3">
        <f t="shared" si="1068"/>
        <v>650</v>
      </c>
      <c r="EN170" s="3">
        <f t="shared" si="1050"/>
        <v>650</v>
      </c>
      <c r="EO170" s="3">
        <f t="shared" si="1016"/>
        <v>650</v>
      </c>
      <c r="EP170" s="3">
        <f t="shared" si="954"/>
        <v>650</v>
      </c>
      <c r="EQ170" s="3">
        <f t="shared" si="1122"/>
        <v>650</v>
      </c>
      <c r="ER170" s="3">
        <f t="shared" si="1122"/>
        <v>650</v>
      </c>
      <c r="ES170" s="3">
        <f t="shared" si="1122"/>
        <v>650</v>
      </c>
      <c r="ET170" s="3">
        <f t="shared" si="1122"/>
        <v>650</v>
      </c>
      <c r="EU170" s="3">
        <f t="shared" si="1122"/>
        <v>650</v>
      </c>
      <c r="EV170" s="3">
        <f t="shared" si="1122"/>
        <v>650</v>
      </c>
      <c r="EW170" s="3">
        <f t="shared" si="1122"/>
        <v>650</v>
      </c>
      <c r="EX170" s="3">
        <f t="shared" si="1122"/>
        <v>650</v>
      </c>
      <c r="EY170" s="3">
        <f t="shared" si="1122"/>
        <v>650</v>
      </c>
      <c r="EZ170" s="5">
        <v>23</v>
      </c>
      <c r="FA170" s="6">
        <f t="shared" si="1114"/>
        <v>0.20370370370370369</v>
      </c>
    </row>
    <row r="171" spans="3:157" x14ac:dyDescent="0.3">
      <c r="C171" s="94"/>
      <c r="D171" s="95"/>
      <c r="E171" s="5">
        <v>22</v>
      </c>
      <c r="F171" s="6">
        <f t="shared" si="1107"/>
        <v>0.19444444444444442</v>
      </c>
      <c r="G171" s="3">
        <f t="shared" si="1115"/>
        <v>600</v>
      </c>
      <c r="H171" s="3">
        <f t="shared" si="1115"/>
        <v>600</v>
      </c>
      <c r="I171" s="3">
        <f t="shared" si="1115"/>
        <v>600</v>
      </c>
      <c r="J171" s="3">
        <f t="shared" si="1115"/>
        <v>600</v>
      </c>
      <c r="K171" s="3">
        <f t="shared" si="1115"/>
        <v>600</v>
      </c>
      <c r="L171" s="3">
        <f t="shared" si="1115"/>
        <v>600</v>
      </c>
      <c r="M171" s="3">
        <f t="shared" si="1115"/>
        <v>600</v>
      </c>
      <c r="N171" s="3">
        <f t="shared" si="1115"/>
        <v>600</v>
      </c>
      <c r="O171" s="3">
        <f t="shared" si="1115"/>
        <v>600</v>
      </c>
      <c r="P171" s="3">
        <f t="shared" si="914"/>
        <v>600</v>
      </c>
      <c r="Q171" s="3">
        <f t="shared" si="975"/>
        <v>600</v>
      </c>
      <c r="R171" s="3">
        <f t="shared" si="1017"/>
        <v>600</v>
      </c>
      <c r="S171" s="3">
        <f t="shared" si="1051"/>
        <v>600</v>
      </c>
      <c r="T171" s="3">
        <f t="shared" si="1085"/>
        <v>600</v>
      </c>
      <c r="U171" s="3">
        <f t="shared" si="1071"/>
        <v>610.66691274740765</v>
      </c>
      <c r="V171" s="3">
        <f t="shared" si="1072"/>
        <v>611.27518936468903</v>
      </c>
      <c r="W171" s="3">
        <f t="shared" si="1073"/>
        <v>612.89839743240361</v>
      </c>
      <c r="X171" s="3">
        <f t="shared" si="1086"/>
        <v>650</v>
      </c>
      <c r="Y171" s="3">
        <f t="shared" si="1052"/>
        <v>650</v>
      </c>
      <c r="Z171" s="3">
        <f t="shared" si="1025"/>
        <v>650</v>
      </c>
      <c r="AA171" s="3">
        <f t="shared" si="985"/>
        <v>650</v>
      </c>
      <c r="AB171" s="3">
        <f t="shared" si="915"/>
        <v>650</v>
      </c>
      <c r="AC171" s="3">
        <f t="shared" si="1116"/>
        <v>650</v>
      </c>
      <c r="AD171" s="3">
        <f t="shared" si="1116"/>
        <v>650</v>
      </c>
      <c r="AE171" s="3">
        <f t="shared" si="1116"/>
        <v>650</v>
      </c>
      <c r="AF171" s="3">
        <f t="shared" si="1116"/>
        <v>650</v>
      </c>
      <c r="AG171" s="3">
        <f t="shared" si="1116"/>
        <v>650</v>
      </c>
      <c r="AH171" s="3">
        <f t="shared" si="1116"/>
        <v>650</v>
      </c>
      <c r="AI171" s="3">
        <f t="shared" si="1116"/>
        <v>650</v>
      </c>
      <c r="AJ171" s="3">
        <f t="shared" si="1116"/>
        <v>650</v>
      </c>
      <c r="AK171" s="3">
        <f t="shared" si="1116"/>
        <v>650</v>
      </c>
      <c r="AL171" s="5">
        <v>22</v>
      </c>
      <c r="AM171" s="6">
        <f t="shared" si="1108"/>
        <v>0.19444444444444442</v>
      </c>
      <c r="AP171" s="102"/>
      <c r="AQ171" s="101"/>
      <c r="AR171" s="5">
        <v>22</v>
      </c>
      <c r="AS171" s="6">
        <f t="shared" si="1109"/>
        <v>0.19444444444444442</v>
      </c>
      <c r="AT171" s="3">
        <f t="shared" si="1117"/>
        <v>600</v>
      </c>
      <c r="AU171" s="3">
        <f t="shared" si="1117"/>
        <v>600</v>
      </c>
      <c r="AV171" s="3">
        <f t="shared" si="1117"/>
        <v>600</v>
      </c>
      <c r="AW171" s="3">
        <f t="shared" si="1117"/>
        <v>600</v>
      </c>
      <c r="AX171" s="3">
        <f t="shared" si="1117"/>
        <v>600</v>
      </c>
      <c r="AY171" s="3">
        <f t="shared" si="1117"/>
        <v>600</v>
      </c>
      <c r="AZ171" s="3">
        <f t="shared" si="1117"/>
        <v>600</v>
      </c>
      <c r="BA171" s="3">
        <f t="shared" si="1117"/>
        <v>600</v>
      </c>
      <c r="BB171" s="3">
        <f t="shared" si="1117"/>
        <v>600</v>
      </c>
      <c r="BC171" s="3">
        <f t="shared" si="916"/>
        <v>600</v>
      </c>
      <c r="BD171" s="3">
        <f t="shared" si="986"/>
        <v>600</v>
      </c>
      <c r="BE171" s="3">
        <f t="shared" si="1026"/>
        <v>600</v>
      </c>
      <c r="BF171" s="3">
        <f t="shared" si="1053"/>
        <v>600</v>
      </c>
      <c r="BG171" s="3">
        <f t="shared" si="1087"/>
        <v>600</v>
      </c>
      <c r="BH171" s="3">
        <f t="shared" si="1077"/>
        <v>-2191036923.5579109</v>
      </c>
      <c r="BI171" s="3">
        <f t="shared" si="1078"/>
        <v>-2193218634.411716</v>
      </c>
      <c r="BJ171" s="3">
        <f t="shared" si="1079"/>
        <v>-2199042991.9406595</v>
      </c>
      <c r="BK171" s="3">
        <f t="shared" si="1088"/>
        <v>650</v>
      </c>
      <c r="BL171" s="3">
        <f t="shared" si="1054"/>
        <v>650</v>
      </c>
      <c r="BM171" s="3">
        <f t="shared" si="1032"/>
        <v>650</v>
      </c>
      <c r="BN171" s="3">
        <f t="shared" si="994"/>
        <v>650</v>
      </c>
      <c r="BO171" s="3">
        <f t="shared" si="928"/>
        <v>650</v>
      </c>
      <c r="BP171" s="3">
        <f t="shared" si="1118"/>
        <v>650</v>
      </c>
      <c r="BQ171" s="3">
        <f t="shared" si="1118"/>
        <v>650</v>
      </c>
      <c r="BR171" s="3">
        <f t="shared" si="1118"/>
        <v>650</v>
      </c>
      <c r="BS171" s="3">
        <f t="shared" si="1118"/>
        <v>650</v>
      </c>
      <c r="BT171" s="3">
        <f t="shared" si="1118"/>
        <v>650</v>
      </c>
      <c r="BU171" s="3">
        <f t="shared" si="1118"/>
        <v>650</v>
      </c>
      <c r="BV171" s="3">
        <f t="shared" si="1118"/>
        <v>650</v>
      </c>
      <c r="BW171" s="3">
        <f t="shared" si="1118"/>
        <v>650</v>
      </c>
      <c r="BX171" s="3">
        <f t="shared" si="1118"/>
        <v>650</v>
      </c>
      <c r="BY171" s="5">
        <v>22</v>
      </c>
      <c r="BZ171" s="6">
        <f t="shared" si="1110"/>
        <v>0.19444444444444442</v>
      </c>
      <c r="CC171" s="94"/>
      <c r="CD171" s="95"/>
      <c r="CE171" s="5">
        <v>22</v>
      </c>
      <c r="CF171" s="6">
        <f t="shared" si="1111"/>
        <v>0.19444444444444442</v>
      </c>
      <c r="CG171" s="3">
        <f t="shared" si="1119"/>
        <v>600</v>
      </c>
      <c r="CH171" s="3">
        <f t="shared" si="1119"/>
        <v>600</v>
      </c>
      <c r="CI171" s="3">
        <f t="shared" si="1119"/>
        <v>600</v>
      </c>
      <c r="CJ171" s="3">
        <f t="shared" si="1119"/>
        <v>600</v>
      </c>
      <c r="CK171" s="3">
        <f t="shared" si="1119"/>
        <v>600</v>
      </c>
      <c r="CL171" s="3">
        <f t="shared" si="1119"/>
        <v>600</v>
      </c>
      <c r="CM171" s="3">
        <f t="shared" si="1119"/>
        <v>600</v>
      </c>
      <c r="CN171" s="3">
        <f t="shared" si="1119"/>
        <v>600</v>
      </c>
      <c r="CO171" s="3">
        <f t="shared" si="1119"/>
        <v>600</v>
      </c>
      <c r="CP171" s="3">
        <f t="shared" si="929"/>
        <v>600</v>
      </c>
      <c r="CQ171" s="3">
        <f t="shared" si="995"/>
        <v>600</v>
      </c>
      <c r="CR171" s="3">
        <f t="shared" si="1033"/>
        <v>600</v>
      </c>
      <c r="CS171" s="3">
        <f t="shared" si="1055"/>
        <v>600</v>
      </c>
      <c r="CT171" s="3">
        <f t="shared" si="1089"/>
        <v>600</v>
      </c>
      <c r="CU171" s="3">
        <f t="shared" si="1090"/>
        <v>0.11667843062533659</v>
      </c>
      <c r="CV171" s="3">
        <f t="shared" si="1091"/>
        <v>0.11667843062533659</v>
      </c>
      <c r="CW171" s="3">
        <f t="shared" si="1092"/>
        <v>0.11667843062533659</v>
      </c>
      <c r="CX171" s="3">
        <f t="shared" si="1093"/>
        <v>650</v>
      </c>
      <c r="CY171" s="3">
        <f t="shared" si="1061"/>
        <v>650</v>
      </c>
      <c r="CZ171" s="3">
        <f t="shared" si="1041"/>
        <v>650</v>
      </c>
      <c r="DA171" s="3">
        <f t="shared" si="1005"/>
        <v>650</v>
      </c>
      <c r="DB171" s="3">
        <f t="shared" si="941"/>
        <v>650</v>
      </c>
      <c r="DC171" s="3">
        <f t="shared" si="1120"/>
        <v>650</v>
      </c>
      <c r="DD171" s="3">
        <f t="shared" si="1120"/>
        <v>650</v>
      </c>
      <c r="DE171" s="3">
        <f t="shared" si="1120"/>
        <v>650</v>
      </c>
      <c r="DF171" s="3">
        <f t="shared" si="1120"/>
        <v>650</v>
      </c>
      <c r="DG171" s="3">
        <f t="shared" si="1120"/>
        <v>650</v>
      </c>
      <c r="DH171" s="3">
        <f t="shared" si="1120"/>
        <v>650</v>
      </c>
      <c r="DI171" s="3">
        <f t="shared" si="1120"/>
        <v>650</v>
      </c>
      <c r="DJ171" s="3">
        <f t="shared" si="1120"/>
        <v>650</v>
      </c>
      <c r="DK171" s="3">
        <f t="shared" si="1120"/>
        <v>650</v>
      </c>
      <c r="DL171" s="5">
        <v>22</v>
      </c>
      <c r="DM171" s="6">
        <f t="shared" si="1112"/>
        <v>0.19444444444444442</v>
      </c>
      <c r="DQ171" s="94"/>
      <c r="DR171" s="95"/>
      <c r="DS171" s="5">
        <v>22</v>
      </c>
      <c r="DT171" s="6">
        <f t="shared" si="1113"/>
        <v>0.19444444444444442</v>
      </c>
      <c r="DU171" s="3">
        <f t="shared" si="1121"/>
        <v>600</v>
      </c>
      <c r="DV171" s="3">
        <f t="shared" si="1121"/>
        <v>600</v>
      </c>
      <c r="DW171" s="3">
        <f t="shared" si="1121"/>
        <v>600</v>
      </c>
      <c r="DX171" s="3">
        <f t="shared" si="1121"/>
        <v>600</v>
      </c>
      <c r="DY171" s="3">
        <f t="shared" si="1121"/>
        <v>600</v>
      </c>
      <c r="DZ171" s="3">
        <f t="shared" si="1121"/>
        <v>600</v>
      </c>
      <c r="EA171" s="3">
        <f t="shared" si="1121"/>
        <v>600</v>
      </c>
      <c r="EB171" s="3">
        <f t="shared" si="1121"/>
        <v>600</v>
      </c>
      <c r="EC171" s="3">
        <f t="shared" si="1121"/>
        <v>600</v>
      </c>
      <c r="ED171" s="3">
        <f t="shared" si="942"/>
        <v>600</v>
      </c>
      <c r="EE171" s="3">
        <f t="shared" si="1006"/>
        <v>600</v>
      </c>
      <c r="EF171" s="3">
        <f t="shared" si="1042"/>
        <v>600</v>
      </c>
      <c r="EG171" s="3">
        <f t="shared" si="1062"/>
        <v>600</v>
      </c>
      <c r="EH171" s="3">
        <f t="shared" si="1094"/>
        <v>600</v>
      </c>
      <c r="EI171" s="3">
        <f t="shared" si="1095"/>
        <v>539.39495411881182</v>
      </c>
      <c r="EJ171" s="3">
        <f t="shared" si="1096"/>
        <v>539.93181526845444</v>
      </c>
      <c r="EK171" s="3">
        <f t="shared" si="1097"/>
        <v>541.36579089520365</v>
      </c>
      <c r="EL171" s="3">
        <f t="shared" si="1098"/>
        <v>650</v>
      </c>
      <c r="EM171" s="3">
        <f t="shared" si="1068"/>
        <v>650</v>
      </c>
      <c r="EN171" s="3">
        <f t="shared" si="1050"/>
        <v>650</v>
      </c>
      <c r="EO171" s="3">
        <f t="shared" si="1016"/>
        <v>650</v>
      </c>
      <c r="EP171" s="3">
        <f t="shared" si="954"/>
        <v>650</v>
      </c>
      <c r="EQ171" s="3">
        <f t="shared" si="1122"/>
        <v>650</v>
      </c>
      <c r="ER171" s="3">
        <f t="shared" si="1122"/>
        <v>650</v>
      </c>
      <c r="ES171" s="3">
        <f t="shared" si="1122"/>
        <v>650</v>
      </c>
      <c r="ET171" s="3">
        <f t="shared" si="1122"/>
        <v>650</v>
      </c>
      <c r="EU171" s="3">
        <f t="shared" si="1122"/>
        <v>650</v>
      </c>
      <c r="EV171" s="3">
        <f t="shared" si="1122"/>
        <v>650</v>
      </c>
      <c r="EW171" s="3">
        <f t="shared" si="1122"/>
        <v>650</v>
      </c>
      <c r="EX171" s="3">
        <f t="shared" si="1122"/>
        <v>650</v>
      </c>
      <c r="EY171" s="3">
        <f t="shared" si="1122"/>
        <v>650</v>
      </c>
      <c r="EZ171" s="5">
        <v>22</v>
      </c>
      <c r="FA171" s="6">
        <f t="shared" si="1114"/>
        <v>0.19444444444444442</v>
      </c>
    </row>
    <row r="172" spans="3:157" ht="15" customHeight="1" x14ac:dyDescent="0.3">
      <c r="C172" s="94"/>
      <c r="D172" s="95"/>
      <c r="E172" s="5">
        <v>21</v>
      </c>
      <c r="F172" s="6">
        <f t="shared" si="1107"/>
        <v>0.18518518518518517</v>
      </c>
      <c r="G172" s="3">
        <f t="shared" si="1115"/>
        <v>600</v>
      </c>
      <c r="H172" s="3">
        <f t="shared" si="1115"/>
        <v>600</v>
      </c>
      <c r="I172" s="3">
        <f t="shared" si="1115"/>
        <v>600</v>
      </c>
      <c r="J172" s="3">
        <f t="shared" si="1115"/>
        <v>600</v>
      </c>
      <c r="K172" s="3">
        <f t="shared" si="1115"/>
        <v>600</v>
      </c>
      <c r="L172" s="3">
        <f t="shared" si="1115"/>
        <v>600</v>
      </c>
      <c r="M172" s="3">
        <f t="shared" si="1115"/>
        <v>600</v>
      </c>
      <c r="N172" s="3">
        <f t="shared" si="1115"/>
        <v>600</v>
      </c>
      <c r="O172" s="3">
        <f t="shared" si="1115"/>
        <v>600</v>
      </c>
      <c r="P172" s="3">
        <f t="shared" si="914"/>
        <v>600</v>
      </c>
      <c r="Q172" s="3">
        <f t="shared" si="975"/>
        <v>600</v>
      </c>
      <c r="R172" s="3">
        <f t="shared" si="1017"/>
        <v>600</v>
      </c>
      <c r="S172" s="3">
        <f t="shared" si="1051"/>
        <v>600</v>
      </c>
      <c r="T172" s="3">
        <f t="shared" si="1085"/>
        <v>600</v>
      </c>
      <c r="U172" s="3">
        <f t="shared" si="1071"/>
        <v>610.84090904046832</v>
      </c>
      <c r="V172" s="3">
        <f t="shared" si="1072"/>
        <v>611.45297990271752</v>
      </c>
      <c r="W172" s="3">
        <f t="shared" si="1073"/>
        <v>613.07480871847429</v>
      </c>
      <c r="X172" s="3">
        <f t="shared" si="1086"/>
        <v>650</v>
      </c>
      <c r="Y172" s="3">
        <f t="shared" si="1052"/>
        <v>650</v>
      </c>
      <c r="Z172" s="3">
        <f t="shared" si="1025"/>
        <v>650</v>
      </c>
      <c r="AA172" s="3">
        <f t="shared" si="985"/>
        <v>650</v>
      </c>
      <c r="AB172" s="3">
        <f t="shared" si="915"/>
        <v>650</v>
      </c>
      <c r="AC172" s="3">
        <f t="shared" si="1116"/>
        <v>650</v>
      </c>
      <c r="AD172" s="3">
        <f t="shared" si="1116"/>
        <v>650</v>
      </c>
      <c r="AE172" s="3">
        <f t="shared" si="1116"/>
        <v>650</v>
      </c>
      <c r="AF172" s="3">
        <f t="shared" si="1116"/>
        <v>650</v>
      </c>
      <c r="AG172" s="3">
        <f t="shared" si="1116"/>
        <v>650</v>
      </c>
      <c r="AH172" s="3">
        <f t="shared" si="1116"/>
        <v>650</v>
      </c>
      <c r="AI172" s="3">
        <f t="shared" si="1116"/>
        <v>650</v>
      </c>
      <c r="AJ172" s="3">
        <f t="shared" si="1116"/>
        <v>650</v>
      </c>
      <c r="AK172" s="3">
        <f t="shared" si="1116"/>
        <v>650</v>
      </c>
      <c r="AL172" s="5">
        <v>21</v>
      </c>
      <c r="AM172" s="6">
        <f t="shared" si="1108"/>
        <v>0.18518518518518517</v>
      </c>
      <c r="AP172" s="102"/>
      <c r="AQ172" s="101"/>
      <c r="AR172" s="5">
        <v>21</v>
      </c>
      <c r="AS172" s="6">
        <f t="shared" si="1109"/>
        <v>0.18518518518518517</v>
      </c>
      <c r="AT172" s="3">
        <f t="shared" si="1117"/>
        <v>600</v>
      </c>
      <c r="AU172" s="3">
        <f t="shared" si="1117"/>
        <v>600</v>
      </c>
      <c r="AV172" s="3">
        <f t="shared" si="1117"/>
        <v>600</v>
      </c>
      <c r="AW172" s="3">
        <f t="shared" si="1117"/>
        <v>600</v>
      </c>
      <c r="AX172" s="3">
        <f t="shared" si="1117"/>
        <v>600</v>
      </c>
      <c r="AY172" s="3">
        <f t="shared" si="1117"/>
        <v>600</v>
      </c>
      <c r="AZ172" s="3">
        <f t="shared" si="1117"/>
        <v>600</v>
      </c>
      <c r="BA172" s="3">
        <f t="shared" si="1117"/>
        <v>600</v>
      </c>
      <c r="BB172" s="3">
        <f t="shared" si="1117"/>
        <v>600</v>
      </c>
      <c r="BC172" s="3">
        <f t="shared" si="916"/>
        <v>600</v>
      </c>
      <c r="BD172" s="3">
        <f t="shared" si="986"/>
        <v>600</v>
      </c>
      <c r="BE172" s="3">
        <f t="shared" si="1026"/>
        <v>600</v>
      </c>
      <c r="BF172" s="3">
        <f t="shared" si="1053"/>
        <v>600</v>
      </c>
      <c r="BG172" s="3">
        <f t="shared" si="1087"/>
        <v>600</v>
      </c>
      <c r="BH172" s="3">
        <f t="shared" si="1077"/>
        <v>-2191638967.6034698</v>
      </c>
      <c r="BI172" s="3">
        <f t="shared" si="1078"/>
        <v>-2193833787.4698377</v>
      </c>
      <c r="BJ172" s="3">
        <f t="shared" si="1079"/>
        <v>-2199653397.7090735</v>
      </c>
      <c r="BK172" s="3">
        <f t="shared" si="1088"/>
        <v>650</v>
      </c>
      <c r="BL172" s="3">
        <f t="shared" si="1054"/>
        <v>650</v>
      </c>
      <c r="BM172" s="3">
        <f t="shared" si="1032"/>
        <v>650</v>
      </c>
      <c r="BN172" s="3">
        <f t="shared" si="994"/>
        <v>650</v>
      </c>
      <c r="BO172" s="3">
        <f t="shared" si="928"/>
        <v>650</v>
      </c>
      <c r="BP172" s="3">
        <f t="shared" si="1118"/>
        <v>650</v>
      </c>
      <c r="BQ172" s="3">
        <f t="shared" si="1118"/>
        <v>650</v>
      </c>
      <c r="BR172" s="3">
        <f t="shared" si="1118"/>
        <v>650</v>
      </c>
      <c r="BS172" s="3">
        <f t="shared" si="1118"/>
        <v>650</v>
      </c>
      <c r="BT172" s="3">
        <f t="shared" si="1118"/>
        <v>650</v>
      </c>
      <c r="BU172" s="3">
        <f t="shared" si="1118"/>
        <v>650</v>
      </c>
      <c r="BV172" s="3">
        <f t="shared" si="1118"/>
        <v>650</v>
      </c>
      <c r="BW172" s="3">
        <f t="shared" si="1118"/>
        <v>650</v>
      </c>
      <c r="BX172" s="3">
        <f t="shared" si="1118"/>
        <v>650</v>
      </c>
      <c r="BY172" s="5">
        <v>21</v>
      </c>
      <c r="BZ172" s="6">
        <f t="shared" si="1110"/>
        <v>0.18518518518518517</v>
      </c>
      <c r="CC172" s="94"/>
      <c r="CD172" s="95"/>
      <c r="CE172" s="5">
        <v>21</v>
      </c>
      <c r="CF172" s="6">
        <f t="shared" si="1111"/>
        <v>0.18518518518518517</v>
      </c>
      <c r="CG172" s="3">
        <f t="shared" si="1119"/>
        <v>600</v>
      </c>
      <c r="CH172" s="3">
        <f t="shared" si="1119"/>
        <v>600</v>
      </c>
      <c r="CI172" s="3">
        <f t="shared" si="1119"/>
        <v>600</v>
      </c>
      <c r="CJ172" s="3">
        <f t="shared" si="1119"/>
        <v>600</v>
      </c>
      <c r="CK172" s="3">
        <f t="shared" si="1119"/>
        <v>600</v>
      </c>
      <c r="CL172" s="3">
        <f t="shared" si="1119"/>
        <v>600</v>
      </c>
      <c r="CM172" s="3">
        <f t="shared" si="1119"/>
        <v>600</v>
      </c>
      <c r="CN172" s="3">
        <f t="shared" si="1119"/>
        <v>600</v>
      </c>
      <c r="CO172" s="3">
        <f t="shared" si="1119"/>
        <v>600</v>
      </c>
      <c r="CP172" s="3">
        <f t="shared" si="929"/>
        <v>600</v>
      </c>
      <c r="CQ172" s="3">
        <f t="shared" si="995"/>
        <v>600</v>
      </c>
      <c r="CR172" s="3">
        <f t="shared" si="1033"/>
        <v>600</v>
      </c>
      <c r="CS172" s="3">
        <f t="shared" si="1055"/>
        <v>600</v>
      </c>
      <c r="CT172" s="3">
        <f t="shared" si="1089"/>
        <v>600</v>
      </c>
      <c r="CU172" s="3">
        <f t="shared" si="1090"/>
        <v>0.11667843062533659</v>
      </c>
      <c r="CV172" s="3">
        <f t="shared" si="1091"/>
        <v>0.11667843062533659</v>
      </c>
      <c r="CW172" s="3">
        <f t="shared" si="1092"/>
        <v>0.11667843062533659</v>
      </c>
      <c r="CX172" s="3">
        <f t="shared" si="1093"/>
        <v>650</v>
      </c>
      <c r="CY172" s="3">
        <f t="shared" si="1061"/>
        <v>650</v>
      </c>
      <c r="CZ172" s="3">
        <f t="shared" si="1041"/>
        <v>650</v>
      </c>
      <c r="DA172" s="3">
        <f t="shared" si="1005"/>
        <v>650</v>
      </c>
      <c r="DB172" s="3">
        <f t="shared" si="941"/>
        <v>650</v>
      </c>
      <c r="DC172" s="3">
        <f t="shared" si="1120"/>
        <v>650</v>
      </c>
      <c r="DD172" s="3">
        <f t="shared" si="1120"/>
        <v>650</v>
      </c>
      <c r="DE172" s="3">
        <f t="shared" si="1120"/>
        <v>650</v>
      </c>
      <c r="DF172" s="3">
        <f t="shared" si="1120"/>
        <v>650</v>
      </c>
      <c r="DG172" s="3">
        <f t="shared" si="1120"/>
        <v>650</v>
      </c>
      <c r="DH172" s="3">
        <f t="shared" si="1120"/>
        <v>650</v>
      </c>
      <c r="DI172" s="3">
        <f t="shared" si="1120"/>
        <v>650</v>
      </c>
      <c r="DJ172" s="3">
        <f t="shared" si="1120"/>
        <v>650</v>
      </c>
      <c r="DK172" s="3">
        <f t="shared" si="1120"/>
        <v>650</v>
      </c>
      <c r="DL172" s="5">
        <v>21</v>
      </c>
      <c r="DM172" s="6">
        <f t="shared" si="1112"/>
        <v>0.18518518518518517</v>
      </c>
      <c r="DQ172" s="94"/>
      <c r="DR172" s="95"/>
      <c r="DS172" s="5">
        <v>21</v>
      </c>
      <c r="DT172" s="6">
        <f t="shared" si="1113"/>
        <v>0.18518518518518517</v>
      </c>
      <c r="DU172" s="3">
        <f t="shared" si="1121"/>
        <v>600</v>
      </c>
      <c r="DV172" s="3">
        <f t="shared" si="1121"/>
        <v>600</v>
      </c>
      <c r="DW172" s="3">
        <f t="shared" si="1121"/>
        <v>600</v>
      </c>
      <c r="DX172" s="3">
        <f t="shared" si="1121"/>
        <v>600</v>
      </c>
      <c r="DY172" s="3">
        <f t="shared" si="1121"/>
        <v>600</v>
      </c>
      <c r="DZ172" s="3">
        <f t="shared" si="1121"/>
        <v>600</v>
      </c>
      <c r="EA172" s="3">
        <f t="shared" si="1121"/>
        <v>600</v>
      </c>
      <c r="EB172" s="3">
        <f t="shared" si="1121"/>
        <v>600</v>
      </c>
      <c r="EC172" s="3">
        <f t="shared" si="1121"/>
        <v>600</v>
      </c>
      <c r="ED172" s="3">
        <f t="shared" si="942"/>
        <v>600</v>
      </c>
      <c r="EE172" s="3">
        <f t="shared" si="1006"/>
        <v>600</v>
      </c>
      <c r="EF172" s="3">
        <f t="shared" si="1042"/>
        <v>600</v>
      </c>
      <c r="EG172" s="3">
        <f t="shared" si="1062"/>
        <v>600</v>
      </c>
      <c r="EH172" s="3">
        <f t="shared" si="1094"/>
        <v>600</v>
      </c>
      <c r="EI172" s="3">
        <f t="shared" si="1095"/>
        <v>539.53598940308768</v>
      </c>
      <c r="EJ172" s="3">
        <f t="shared" si="1096"/>
        <v>540.07592147972809</v>
      </c>
      <c r="EK172" s="3">
        <f t="shared" si="1097"/>
        <v>541.50878500287217</v>
      </c>
      <c r="EL172" s="3">
        <f t="shared" si="1098"/>
        <v>650</v>
      </c>
      <c r="EM172" s="3">
        <f t="shared" si="1068"/>
        <v>650</v>
      </c>
      <c r="EN172" s="3">
        <f t="shared" si="1050"/>
        <v>650</v>
      </c>
      <c r="EO172" s="3">
        <f t="shared" si="1016"/>
        <v>650</v>
      </c>
      <c r="EP172" s="3">
        <f t="shared" si="954"/>
        <v>650</v>
      </c>
      <c r="EQ172" s="3">
        <f t="shared" si="1122"/>
        <v>650</v>
      </c>
      <c r="ER172" s="3">
        <f t="shared" si="1122"/>
        <v>650</v>
      </c>
      <c r="ES172" s="3">
        <f t="shared" si="1122"/>
        <v>650</v>
      </c>
      <c r="ET172" s="3">
        <f t="shared" si="1122"/>
        <v>650</v>
      </c>
      <c r="EU172" s="3">
        <f t="shared" si="1122"/>
        <v>650</v>
      </c>
      <c r="EV172" s="3">
        <f t="shared" si="1122"/>
        <v>650</v>
      </c>
      <c r="EW172" s="3">
        <f t="shared" si="1122"/>
        <v>650</v>
      </c>
      <c r="EX172" s="3">
        <f t="shared" si="1122"/>
        <v>650</v>
      </c>
      <c r="EY172" s="3">
        <f t="shared" si="1122"/>
        <v>650</v>
      </c>
      <c r="EZ172" s="5">
        <v>21</v>
      </c>
      <c r="FA172" s="6">
        <f t="shared" si="1114"/>
        <v>0.18518518518518517</v>
      </c>
    </row>
    <row r="173" spans="3:157" ht="15" customHeight="1" x14ac:dyDescent="0.3">
      <c r="C173" s="94"/>
      <c r="D173" s="95"/>
      <c r="E173" s="5">
        <v>20</v>
      </c>
      <c r="F173" s="6">
        <f t="shared" si="1107"/>
        <v>0.17592592592592593</v>
      </c>
      <c r="G173" s="3">
        <f t="shared" si="1115"/>
        <v>600</v>
      </c>
      <c r="H173" s="3">
        <f t="shared" si="1115"/>
        <v>600</v>
      </c>
      <c r="I173" s="3">
        <f t="shared" si="1115"/>
        <v>600</v>
      </c>
      <c r="J173" s="3">
        <f t="shared" si="1115"/>
        <v>600</v>
      </c>
      <c r="K173" s="3">
        <f t="shared" si="1115"/>
        <v>600</v>
      </c>
      <c r="L173" s="3">
        <f t="shared" si="1115"/>
        <v>600</v>
      </c>
      <c r="M173" s="3">
        <f t="shared" si="1115"/>
        <v>600</v>
      </c>
      <c r="N173" s="3">
        <f t="shared" si="1115"/>
        <v>600</v>
      </c>
      <c r="O173" s="3">
        <f t="shared" si="1115"/>
        <v>600</v>
      </c>
      <c r="P173" s="3">
        <f t="shared" si="914"/>
        <v>600</v>
      </c>
      <c r="Q173" s="3">
        <f t="shared" si="975"/>
        <v>600</v>
      </c>
      <c r="R173" s="3">
        <f t="shared" si="1017"/>
        <v>600</v>
      </c>
      <c r="S173" s="3">
        <f t="shared" si="1051"/>
        <v>600</v>
      </c>
      <c r="T173" s="3">
        <f t="shared" si="1085"/>
        <v>600</v>
      </c>
      <c r="U173" s="3">
        <f t="shared" si="1071"/>
        <v>611.12340348788416</v>
      </c>
      <c r="V173" s="3">
        <f t="shared" si="1072"/>
        <v>611.74167359335388</v>
      </c>
      <c r="W173" s="3">
        <f t="shared" si="1073"/>
        <v>613.36121279695703</v>
      </c>
      <c r="X173" s="3">
        <f t="shared" si="1086"/>
        <v>650</v>
      </c>
      <c r="Y173" s="3">
        <f t="shared" si="1052"/>
        <v>650</v>
      </c>
      <c r="Z173" s="3">
        <f t="shared" si="1025"/>
        <v>650</v>
      </c>
      <c r="AA173" s="3">
        <f t="shared" si="985"/>
        <v>650</v>
      </c>
      <c r="AB173" s="3">
        <f t="shared" si="915"/>
        <v>650</v>
      </c>
      <c r="AC173" s="3">
        <f t="shared" si="1116"/>
        <v>650</v>
      </c>
      <c r="AD173" s="3">
        <f t="shared" si="1116"/>
        <v>650</v>
      </c>
      <c r="AE173" s="3">
        <f t="shared" si="1116"/>
        <v>650</v>
      </c>
      <c r="AF173" s="3">
        <f t="shared" si="1116"/>
        <v>650</v>
      </c>
      <c r="AG173" s="3">
        <f t="shared" si="1116"/>
        <v>650</v>
      </c>
      <c r="AH173" s="3">
        <f t="shared" si="1116"/>
        <v>650</v>
      </c>
      <c r="AI173" s="3">
        <f t="shared" si="1116"/>
        <v>650</v>
      </c>
      <c r="AJ173" s="3">
        <f t="shared" si="1116"/>
        <v>650</v>
      </c>
      <c r="AK173" s="3">
        <f t="shared" si="1116"/>
        <v>650</v>
      </c>
      <c r="AL173" s="5">
        <v>20</v>
      </c>
      <c r="AM173" s="6">
        <f t="shared" si="1108"/>
        <v>0.17592592592592593</v>
      </c>
      <c r="AP173" s="102"/>
      <c r="AQ173" s="101"/>
      <c r="AR173" s="5">
        <v>20</v>
      </c>
      <c r="AS173" s="6">
        <f t="shared" si="1109"/>
        <v>0.17592592592592593</v>
      </c>
      <c r="AT173" s="3">
        <f t="shared" si="1117"/>
        <v>600</v>
      </c>
      <c r="AU173" s="3">
        <f t="shared" si="1117"/>
        <v>600</v>
      </c>
      <c r="AV173" s="3">
        <f t="shared" si="1117"/>
        <v>600</v>
      </c>
      <c r="AW173" s="3">
        <f t="shared" si="1117"/>
        <v>600</v>
      </c>
      <c r="AX173" s="3">
        <f t="shared" si="1117"/>
        <v>600</v>
      </c>
      <c r="AY173" s="3">
        <f t="shared" si="1117"/>
        <v>600</v>
      </c>
      <c r="AZ173" s="3">
        <f t="shared" si="1117"/>
        <v>600</v>
      </c>
      <c r="BA173" s="3">
        <f t="shared" si="1117"/>
        <v>600</v>
      </c>
      <c r="BB173" s="3">
        <f t="shared" si="1117"/>
        <v>600</v>
      </c>
      <c r="BC173" s="3">
        <f t="shared" si="916"/>
        <v>600</v>
      </c>
      <c r="BD173" s="3">
        <f t="shared" si="986"/>
        <v>600</v>
      </c>
      <c r="BE173" s="3">
        <f t="shared" si="1026"/>
        <v>600</v>
      </c>
      <c r="BF173" s="3">
        <f t="shared" si="1053"/>
        <v>600</v>
      </c>
      <c r="BG173" s="3">
        <f t="shared" si="1087"/>
        <v>600</v>
      </c>
      <c r="BH173" s="3">
        <f t="shared" si="1077"/>
        <v>-2192616645.064003</v>
      </c>
      <c r="BI173" s="3">
        <f t="shared" si="1078"/>
        <v>-2194832753.0507445</v>
      </c>
      <c r="BJ173" s="3">
        <f t="shared" si="1079"/>
        <v>-2200644654.0232253</v>
      </c>
      <c r="BK173" s="3">
        <f t="shared" si="1088"/>
        <v>650</v>
      </c>
      <c r="BL173" s="3">
        <f t="shared" si="1054"/>
        <v>650</v>
      </c>
      <c r="BM173" s="3">
        <f t="shared" si="1032"/>
        <v>650</v>
      </c>
      <c r="BN173" s="3">
        <f t="shared" si="994"/>
        <v>650</v>
      </c>
      <c r="BO173" s="3">
        <f t="shared" si="928"/>
        <v>650</v>
      </c>
      <c r="BP173" s="3">
        <f t="shared" si="1118"/>
        <v>650</v>
      </c>
      <c r="BQ173" s="3">
        <f t="shared" si="1118"/>
        <v>650</v>
      </c>
      <c r="BR173" s="3">
        <f t="shared" si="1118"/>
        <v>650</v>
      </c>
      <c r="BS173" s="3">
        <f t="shared" si="1118"/>
        <v>650</v>
      </c>
      <c r="BT173" s="3">
        <f t="shared" si="1118"/>
        <v>650</v>
      </c>
      <c r="BU173" s="3">
        <f t="shared" si="1118"/>
        <v>650</v>
      </c>
      <c r="BV173" s="3">
        <f t="shared" si="1118"/>
        <v>650</v>
      </c>
      <c r="BW173" s="3">
        <f t="shared" si="1118"/>
        <v>650</v>
      </c>
      <c r="BX173" s="3">
        <f t="shared" si="1118"/>
        <v>650</v>
      </c>
      <c r="BY173" s="5">
        <v>20</v>
      </c>
      <c r="BZ173" s="6">
        <f t="shared" si="1110"/>
        <v>0.17592592592592593</v>
      </c>
      <c r="CC173" s="94"/>
      <c r="CD173" s="95"/>
      <c r="CE173" s="5">
        <v>20</v>
      </c>
      <c r="CF173" s="6">
        <f t="shared" si="1111"/>
        <v>0.17592592592592593</v>
      </c>
      <c r="CG173" s="3">
        <f t="shared" si="1119"/>
        <v>600</v>
      </c>
      <c r="CH173" s="3">
        <f t="shared" si="1119"/>
        <v>600</v>
      </c>
      <c r="CI173" s="3">
        <f t="shared" si="1119"/>
        <v>600</v>
      </c>
      <c r="CJ173" s="3">
        <f t="shared" si="1119"/>
        <v>600</v>
      </c>
      <c r="CK173" s="3">
        <f t="shared" si="1119"/>
        <v>600</v>
      </c>
      <c r="CL173" s="3">
        <f t="shared" si="1119"/>
        <v>600</v>
      </c>
      <c r="CM173" s="3">
        <f t="shared" si="1119"/>
        <v>600</v>
      </c>
      <c r="CN173" s="3">
        <f t="shared" si="1119"/>
        <v>600</v>
      </c>
      <c r="CO173" s="3">
        <f t="shared" si="1119"/>
        <v>600</v>
      </c>
      <c r="CP173" s="3">
        <f t="shared" si="929"/>
        <v>600</v>
      </c>
      <c r="CQ173" s="3">
        <f t="shared" si="995"/>
        <v>600</v>
      </c>
      <c r="CR173" s="3">
        <f t="shared" si="1033"/>
        <v>600</v>
      </c>
      <c r="CS173" s="3">
        <f t="shared" si="1055"/>
        <v>600</v>
      </c>
      <c r="CT173" s="3">
        <f t="shared" si="1089"/>
        <v>600</v>
      </c>
      <c r="CU173" s="3">
        <f t="shared" si="1090"/>
        <v>0.11667843062533659</v>
      </c>
      <c r="CV173" s="3">
        <f t="shared" si="1091"/>
        <v>0.11667843062533659</v>
      </c>
      <c r="CW173" s="3">
        <f t="shared" si="1092"/>
        <v>0.11667843062533659</v>
      </c>
      <c r="CX173" s="3">
        <f t="shared" si="1093"/>
        <v>650</v>
      </c>
      <c r="CY173" s="3">
        <f t="shared" si="1061"/>
        <v>650</v>
      </c>
      <c r="CZ173" s="3">
        <f t="shared" si="1041"/>
        <v>650</v>
      </c>
      <c r="DA173" s="3">
        <f t="shared" si="1005"/>
        <v>650</v>
      </c>
      <c r="DB173" s="3">
        <f t="shared" si="941"/>
        <v>650</v>
      </c>
      <c r="DC173" s="3">
        <f t="shared" si="1120"/>
        <v>650</v>
      </c>
      <c r="DD173" s="3">
        <f t="shared" si="1120"/>
        <v>650</v>
      </c>
      <c r="DE173" s="3">
        <f t="shared" si="1120"/>
        <v>650</v>
      </c>
      <c r="DF173" s="3">
        <f t="shared" si="1120"/>
        <v>650</v>
      </c>
      <c r="DG173" s="3">
        <f t="shared" si="1120"/>
        <v>650</v>
      </c>
      <c r="DH173" s="3">
        <f t="shared" si="1120"/>
        <v>650</v>
      </c>
      <c r="DI173" s="3">
        <f t="shared" si="1120"/>
        <v>650</v>
      </c>
      <c r="DJ173" s="3">
        <f t="shared" si="1120"/>
        <v>650</v>
      </c>
      <c r="DK173" s="3">
        <f t="shared" si="1120"/>
        <v>650</v>
      </c>
      <c r="DL173" s="5">
        <v>20</v>
      </c>
      <c r="DM173" s="6">
        <f t="shared" si="1112"/>
        <v>0.17592592592592593</v>
      </c>
      <c r="DQ173" s="94"/>
      <c r="DR173" s="95"/>
      <c r="DS173" s="5">
        <v>20</v>
      </c>
      <c r="DT173" s="6">
        <f t="shared" si="1113"/>
        <v>0.17592592592592593</v>
      </c>
      <c r="DU173" s="3">
        <f t="shared" si="1121"/>
        <v>600</v>
      </c>
      <c r="DV173" s="3">
        <f t="shared" si="1121"/>
        <v>600</v>
      </c>
      <c r="DW173" s="3">
        <f t="shared" si="1121"/>
        <v>600</v>
      </c>
      <c r="DX173" s="3">
        <f t="shared" si="1121"/>
        <v>600</v>
      </c>
      <c r="DY173" s="3">
        <f t="shared" si="1121"/>
        <v>600</v>
      </c>
      <c r="DZ173" s="3">
        <f t="shared" si="1121"/>
        <v>600</v>
      </c>
      <c r="EA173" s="3">
        <f t="shared" si="1121"/>
        <v>600</v>
      </c>
      <c r="EB173" s="3">
        <f t="shared" si="1121"/>
        <v>600</v>
      </c>
      <c r="EC173" s="3">
        <f t="shared" si="1121"/>
        <v>600</v>
      </c>
      <c r="ED173" s="3">
        <f t="shared" si="942"/>
        <v>600</v>
      </c>
      <c r="EE173" s="3">
        <f t="shared" si="1006"/>
        <v>600</v>
      </c>
      <c r="EF173" s="3">
        <f t="shared" si="1042"/>
        <v>600</v>
      </c>
      <c r="EG173" s="3">
        <f t="shared" si="1062"/>
        <v>600</v>
      </c>
      <c r="EH173" s="3">
        <f t="shared" si="1094"/>
        <v>600</v>
      </c>
      <c r="EI173" s="3">
        <f t="shared" si="1095"/>
        <v>539.76505378444961</v>
      </c>
      <c r="EJ173" s="3">
        <f t="shared" si="1096"/>
        <v>540.30997354907583</v>
      </c>
      <c r="EK173" s="3">
        <f t="shared" si="1097"/>
        <v>541.7410308339754</v>
      </c>
      <c r="EL173" s="3">
        <f t="shared" si="1098"/>
        <v>650</v>
      </c>
      <c r="EM173" s="3">
        <f t="shared" si="1068"/>
        <v>650</v>
      </c>
      <c r="EN173" s="3">
        <f t="shared" si="1050"/>
        <v>650</v>
      </c>
      <c r="EO173" s="3">
        <f t="shared" si="1016"/>
        <v>650</v>
      </c>
      <c r="EP173" s="3">
        <f t="shared" si="954"/>
        <v>650</v>
      </c>
      <c r="EQ173" s="3">
        <f t="shared" si="1122"/>
        <v>650</v>
      </c>
      <c r="ER173" s="3">
        <f t="shared" si="1122"/>
        <v>650</v>
      </c>
      <c r="ES173" s="3">
        <f t="shared" si="1122"/>
        <v>650</v>
      </c>
      <c r="ET173" s="3">
        <f t="shared" si="1122"/>
        <v>650</v>
      </c>
      <c r="EU173" s="3">
        <f t="shared" si="1122"/>
        <v>650</v>
      </c>
      <c r="EV173" s="3">
        <f t="shared" si="1122"/>
        <v>650</v>
      </c>
      <c r="EW173" s="3">
        <f t="shared" si="1122"/>
        <v>650</v>
      </c>
      <c r="EX173" s="3">
        <f t="shared" si="1122"/>
        <v>650</v>
      </c>
      <c r="EY173" s="3">
        <f t="shared" si="1122"/>
        <v>650</v>
      </c>
      <c r="EZ173" s="5">
        <v>20</v>
      </c>
      <c r="FA173" s="6">
        <f t="shared" si="1114"/>
        <v>0.17592592592592593</v>
      </c>
    </row>
    <row r="174" spans="3:157" ht="15" customHeight="1" x14ac:dyDescent="0.3">
      <c r="C174" s="94"/>
      <c r="D174" s="95"/>
      <c r="E174" s="5">
        <v>19</v>
      </c>
      <c r="F174" s="6">
        <f t="shared" si="1107"/>
        <v>0.16666666666666666</v>
      </c>
      <c r="G174" s="3">
        <f t="shared" si="1115"/>
        <v>600</v>
      </c>
      <c r="H174" s="3">
        <f t="shared" si="1115"/>
        <v>600</v>
      </c>
      <c r="I174" s="3">
        <f t="shared" si="1115"/>
        <v>600</v>
      </c>
      <c r="J174" s="3">
        <f t="shared" si="1115"/>
        <v>600</v>
      </c>
      <c r="K174" s="3">
        <f t="shared" si="1115"/>
        <v>600</v>
      </c>
      <c r="L174" s="3">
        <f t="shared" si="1115"/>
        <v>600</v>
      </c>
      <c r="M174" s="3">
        <f t="shared" si="1115"/>
        <v>600</v>
      </c>
      <c r="N174" s="3">
        <f t="shared" si="1115"/>
        <v>600</v>
      </c>
      <c r="O174" s="3">
        <f t="shared" si="1115"/>
        <v>600</v>
      </c>
      <c r="P174" s="3">
        <f t="shared" si="914"/>
        <v>600</v>
      </c>
      <c r="Q174" s="3">
        <f t="shared" si="975"/>
        <v>600</v>
      </c>
      <c r="R174" s="3">
        <f t="shared" si="1017"/>
        <v>600</v>
      </c>
      <c r="S174" s="3">
        <f t="shared" si="1051"/>
        <v>600</v>
      </c>
      <c r="T174" s="3">
        <f t="shared" si="1085"/>
        <v>600</v>
      </c>
      <c r="U174" s="3">
        <f t="shared" si="1071"/>
        <v>611.58132930817078</v>
      </c>
      <c r="V174" s="3">
        <f t="shared" si="1072"/>
        <v>612.20998312576489</v>
      </c>
      <c r="W174" s="3">
        <f t="shared" si="1073"/>
        <v>613.82537954216707</v>
      </c>
      <c r="X174" s="3">
        <f t="shared" si="1086"/>
        <v>650</v>
      </c>
      <c r="Y174" s="3">
        <f t="shared" si="1052"/>
        <v>650</v>
      </c>
      <c r="Z174" s="3">
        <f t="shared" si="1025"/>
        <v>650</v>
      </c>
      <c r="AA174" s="3">
        <f t="shared" si="985"/>
        <v>650</v>
      </c>
      <c r="AB174" s="3">
        <f t="shared" si="915"/>
        <v>650</v>
      </c>
      <c r="AC174" s="3">
        <f t="shared" si="1116"/>
        <v>650</v>
      </c>
      <c r="AD174" s="3">
        <f t="shared" si="1116"/>
        <v>650</v>
      </c>
      <c r="AE174" s="3">
        <f t="shared" si="1116"/>
        <v>650</v>
      </c>
      <c r="AF174" s="3">
        <f t="shared" si="1116"/>
        <v>650</v>
      </c>
      <c r="AG174" s="3">
        <f t="shared" si="1116"/>
        <v>650</v>
      </c>
      <c r="AH174" s="3">
        <f t="shared" si="1116"/>
        <v>650</v>
      </c>
      <c r="AI174" s="3">
        <f t="shared" si="1116"/>
        <v>650</v>
      </c>
      <c r="AJ174" s="3">
        <f t="shared" si="1116"/>
        <v>650</v>
      </c>
      <c r="AK174" s="3">
        <f t="shared" si="1116"/>
        <v>650</v>
      </c>
      <c r="AL174" s="5">
        <v>19</v>
      </c>
      <c r="AM174" s="6">
        <f t="shared" si="1108"/>
        <v>0.16666666666666666</v>
      </c>
      <c r="AP174" s="102"/>
      <c r="AQ174" s="101"/>
      <c r="AR174" s="5">
        <v>19</v>
      </c>
      <c r="AS174" s="6">
        <f t="shared" si="1109"/>
        <v>0.16666666666666666</v>
      </c>
      <c r="AT174" s="3">
        <f t="shared" si="1117"/>
        <v>600</v>
      </c>
      <c r="AU174" s="3">
        <f t="shared" si="1117"/>
        <v>600</v>
      </c>
      <c r="AV174" s="3">
        <f t="shared" si="1117"/>
        <v>600</v>
      </c>
      <c r="AW174" s="3">
        <f t="shared" si="1117"/>
        <v>600</v>
      </c>
      <c r="AX174" s="3">
        <f t="shared" si="1117"/>
        <v>600</v>
      </c>
      <c r="AY174" s="3">
        <f t="shared" si="1117"/>
        <v>600</v>
      </c>
      <c r="AZ174" s="3">
        <f t="shared" si="1117"/>
        <v>600</v>
      </c>
      <c r="BA174" s="3">
        <f t="shared" si="1117"/>
        <v>600</v>
      </c>
      <c r="BB174" s="3">
        <f t="shared" si="1117"/>
        <v>600</v>
      </c>
      <c r="BC174" s="3">
        <f t="shared" si="916"/>
        <v>600</v>
      </c>
      <c r="BD174" s="3">
        <f t="shared" si="986"/>
        <v>600</v>
      </c>
      <c r="BE174" s="3">
        <f t="shared" si="1026"/>
        <v>600</v>
      </c>
      <c r="BF174" s="3">
        <f t="shared" si="1053"/>
        <v>600</v>
      </c>
      <c r="BG174" s="3">
        <f t="shared" si="1087"/>
        <v>600</v>
      </c>
      <c r="BH174" s="3">
        <f t="shared" si="1077"/>
        <v>-2194202752.1428103</v>
      </c>
      <c r="BI174" s="3">
        <f t="shared" si="1078"/>
        <v>-2196453396.3030677</v>
      </c>
      <c r="BJ174" s="3">
        <f t="shared" si="1079"/>
        <v>-2202252790.3670158</v>
      </c>
      <c r="BK174" s="3">
        <f t="shared" si="1088"/>
        <v>650</v>
      </c>
      <c r="BL174" s="3">
        <f t="shared" si="1054"/>
        <v>650</v>
      </c>
      <c r="BM174" s="3">
        <f t="shared" si="1032"/>
        <v>650</v>
      </c>
      <c r="BN174" s="3">
        <f t="shared" si="994"/>
        <v>650</v>
      </c>
      <c r="BO174" s="3">
        <f t="shared" si="928"/>
        <v>650</v>
      </c>
      <c r="BP174" s="3">
        <f t="shared" si="1118"/>
        <v>650</v>
      </c>
      <c r="BQ174" s="3">
        <f t="shared" si="1118"/>
        <v>650</v>
      </c>
      <c r="BR174" s="3">
        <f t="shared" si="1118"/>
        <v>650</v>
      </c>
      <c r="BS174" s="3">
        <f t="shared" si="1118"/>
        <v>650</v>
      </c>
      <c r="BT174" s="3">
        <f t="shared" si="1118"/>
        <v>650</v>
      </c>
      <c r="BU174" s="3">
        <f t="shared" si="1118"/>
        <v>650</v>
      </c>
      <c r="BV174" s="3">
        <f t="shared" si="1118"/>
        <v>650</v>
      </c>
      <c r="BW174" s="3">
        <f t="shared" si="1118"/>
        <v>650</v>
      </c>
      <c r="BX174" s="3">
        <f t="shared" si="1118"/>
        <v>650</v>
      </c>
      <c r="BY174" s="5">
        <v>19</v>
      </c>
      <c r="BZ174" s="6">
        <f t="shared" si="1110"/>
        <v>0.16666666666666666</v>
      </c>
      <c r="CC174" s="94"/>
      <c r="CD174" s="95"/>
      <c r="CE174" s="5">
        <v>19</v>
      </c>
      <c r="CF174" s="6">
        <f t="shared" si="1111"/>
        <v>0.16666666666666666</v>
      </c>
      <c r="CG174" s="3">
        <f t="shared" si="1119"/>
        <v>600</v>
      </c>
      <c r="CH174" s="3">
        <f t="shared" si="1119"/>
        <v>600</v>
      </c>
      <c r="CI174" s="3">
        <f t="shared" si="1119"/>
        <v>600</v>
      </c>
      <c r="CJ174" s="3">
        <f t="shared" si="1119"/>
        <v>600</v>
      </c>
      <c r="CK174" s="3">
        <f t="shared" si="1119"/>
        <v>600</v>
      </c>
      <c r="CL174" s="3">
        <f t="shared" si="1119"/>
        <v>600</v>
      </c>
      <c r="CM174" s="3">
        <f t="shared" si="1119"/>
        <v>600</v>
      </c>
      <c r="CN174" s="3">
        <f t="shared" si="1119"/>
        <v>600</v>
      </c>
      <c r="CO174" s="3">
        <f t="shared" si="1119"/>
        <v>600</v>
      </c>
      <c r="CP174" s="3">
        <f t="shared" si="929"/>
        <v>600</v>
      </c>
      <c r="CQ174" s="3">
        <f t="shared" si="995"/>
        <v>600</v>
      </c>
      <c r="CR174" s="3">
        <f t="shared" si="1033"/>
        <v>600</v>
      </c>
      <c r="CS174" s="3">
        <f t="shared" si="1055"/>
        <v>600</v>
      </c>
      <c r="CT174" s="3">
        <f t="shared" si="1089"/>
        <v>600</v>
      </c>
      <c r="CU174" s="3">
        <f t="shared" si="1090"/>
        <v>0.11667843062533659</v>
      </c>
      <c r="CV174" s="3">
        <f t="shared" si="1091"/>
        <v>0.11667843062533659</v>
      </c>
      <c r="CW174" s="3">
        <f t="shared" si="1092"/>
        <v>0.11667843062533659</v>
      </c>
      <c r="CX174" s="3">
        <f t="shared" si="1093"/>
        <v>650</v>
      </c>
      <c r="CY174" s="3">
        <f t="shared" si="1061"/>
        <v>650</v>
      </c>
      <c r="CZ174" s="3">
        <f t="shared" si="1041"/>
        <v>650</v>
      </c>
      <c r="DA174" s="3">
        <f t="shared" si="1005"/>
        <v>650</v>
      </c>
      <c r="DB174" s="3">
        <f t="shared" si="941"/>
        <v>650</v>
      </c>
      <c r="DC174" s="3">
        <f t="shared" si="1120"/>
        <v>650</v>
      </c>
      <c r="DD174" s="3">
        <f t="shared" si="1120"/>
        <v>650</v>
      </c>
      <c r="DE174" s="3">
        <f t="shared" si="1120"/>
        <v>650</v>
      </c>
      <c r="DF174" s="3">
        <f t="shared" si="1120"/>
        <v>650</v>
      </c>
      <c r="DG174" s="3">
        <f t="shared" si="1120"/>
        <v>650</v>
      </c>
      <c r="DH174" s="3">
        <f t="shared" si="1120"/>
        <v>650</v>
      </c>
      <c r="DI174" s="3">
        <f t="shared" si="1120"/>
        <v>650</v>
      </c>
      <c r="DJ174" s="3">
        <f t="shared" si="1120"/>
        <v>650</v>
      </c>
      <c r="DK174" s="3">
        <f t="shared" si="1120"/>
        <v>650</v>
      </c>
      <c r="DL174" s="5">
        <v>19</v>
      </c>
      <c r="DM174" s="6">
        <f t="shared" si="1112"/>
        <v>0.16666666666666666</v>
      </c>
      <c r="DQ174" s="94"/>
      <c r="DR174" s="95"/>
      <c r="DS174" s="5">
        <v>19</v>
      </c>
      <c r="DT174" s="6">
        <f t="shared" si="1113"/>
        <v>0.16666666666666666</v>
      </c>
      <c r="DU174" s="3">
        <f t="shared" si="1121"/>
        <v>600</v>
      </c>
      <c r="DV174" s="3">
        <f t="shared" si="1121"/>
        <v>600</v>
      </c>
      <c r="DW174" s="3">
        <f t="shared" si="1121"/>
        <v>600</v>
      </c>
      <c r="DX174" s="3">
        <f t="shared" si="1121"/>
        <v>600</v>
      </c>
      <c r="DY174" s="3">
        <f t="shared" si="1121"/>
        <v>600</v>
      </c>
      <c r="DZ174" s="3">
        <f t="shared" si="1121"/>
        <v>600</v>
      </c>
      <c r="EA174" s="3">
        <f t="shared" si="1121"/>
        <v>600</v>
      </c>
      <c r="EB174" s="3">
        <f t="shared" si="1121"/>
        <v>600</v>
      </c>
      <c r="EC174" s="3">
        <f t="shared" si="1121"/>
        <v>600</v>
      </c>
      <c r="ED174" s="3">
        <f t="shared" si="942"/>
        <v>600</v>
      </c>
      <c r="EE174" s="3">
        <f t="shared" si="1006"/>
        <v>600</v>
      </c>
      <c r="EF174" s="3">
        <f t="shared" si="1042"/>
        <v>600</v>
      </c>
      <c r="EG174" s="3">
        <f t="shared" si="1062"/>
        <v>600</v>
      </c>
      <c r="EH174" s="3">
        <f t="shared" si="1094"/>
        <v>600</v>
      </c>
      <c r="EI174" s="3">
        <f t="shared" si="1095"/>
        <v>540.13670015055084</v>
      </c>
      <c r="EJ174" s="3">
        <f t="shared" si="1096"/>
        <v>540.68971220828757</v>
      </c>
      <c r="EK174" s="3">
        <f t="shared" si="1097"/>
        <v>542.11783895516123</v>
      </c>
      <c r="EL174" s="3">
        <f t="shared" si="1098"/>
        <v>650</v>
      </c>
      <c r="EM174" s="3">
        <f t="shared" si="1068"/>
        <v>650</v>
      </c>
      <c r="EN174" s="3">
        <f t="shared" si="1050"/>
        <v>650</v>
      </c>
      <c r="EO174" s="3">
        <f t="shared" si="1016"/>
        <v>650</v>
      </c>
      <c r="EP174" s="3">
        <f t="shared" si="954"/>
        <v>650</v>
      </c>
      <c r="EQ174" s="3">
        <f t="shared" si="1122"/>
        <v>650</v>
      </c>
      <c r="ER174" s="3">
        <f t="shared" si="1122"/>
        <v>650</v>
      </c>
      <c r="ES174" s="3">
        <f t="shared" si="1122"/>
        <v>650</v>
      </c>
      <c r="ET174" s="3">
        <f t="shared" si="1122"/>
        <v>650</v>
      </c>
      <c r="EU174" s="3">
        <f t="shared" si="1122"/>
        <v>650</v>
      </c>
      <c r="EV174" s="3">
        <f t="shared" si="1122"/>
        <v>650</v>
      </c>
      <c r="EW174" s="3">
        <f t="shared" si="1122"/>
        <v>650</v>
      </c>
      <c r="EX174" s="3">
        <f t="shared" si="1122"/>
        <v>650</v>
      </c>
      <c r="EY174" s="3">
        <f t="shared" si="1122"/>
        <v>650</v>
      </c>
      <c r="EZ174" s="5">
        <v>19</v>
      </c>
      <c r="FA174" s="6">
        <f t="shared" si="1114"/>
        <v>0.16666666666666666</v>
      </c>
    </row>
    <row r="175" spans="3:157" ht="15" customHeight="1" x14ac:dyDescent="0.3">
      <c r="C175" s="94"/>
      <c r="D175" s="95"/>
      <c r="E175" s="5">
        <v>18</v>
      </c>
      <c r="F175" s="6">
        <f t="shared" si="1107"/>
        <v>0.15740740740740738</v>
      </c>
      <c r="G175" s="3">
        <f t="shared" si="1115"/>
        <v>600</v>
      </c>
      <c r="H175" s="3">
        <f t="shared" si="1115"/>
        <v>600</v>
      </c>
      <c r="I175" s="3">
        <f t="shared" si="1115"/>
        <v>600</v>
      </c>
      <c r="J175" s="3">
        <f t="shared" si="1115"/>
        <v>600</v>
      </c>
      <c r="K175" s="3">
        <f t="shared" si="1115"/>
        <v>600</v>
      </c>
      <c r="L175" s="3">
        <f t="shared" si="1115"/>
        <v>600</v>
      </c>
      <c r="M175" s="3">
        <f t="shared" si="1115"/>
        <v>600</v>
      </c>
      <c r="N175" s="3">
        <f t="shared" si="1115"/>
        <v>600</v>
      </c>
      <c r="O175" s="3">
        <f t="shared" si="1115"/>
        <v>600</v>
      </c>
      <c r="P175" s="3">
        <f t="shared" si="914"/>
        <v>600</v>
      </c>
      <c r="Q175" s="3">
        <f t="shared" si="975"/>
        <v>600</v>
      </c>
      <c r="R175" s="3">
        <f t="shared" si="1017"/>
        <v>600</v>
      </c>
      <c r="S175" s="3">
        <f t="shared" si="1051"/>
        <v>600</v>
      </c>
      <c r="T175" s="3">
        <f t="shared" si="1085"/>
        <v>600</v>
      </c>
      <c r="U175" s="3">
        <f t="shared" si="1071"/>
        <v>612.32079292387903</v>
      </c>
      <c r="V175" s="3">
        <f t="shared" si="1072"/>
        <v>612.96908549562477</v>
      </c>
      <c r="W175" s="3">
        <f t="shared" si="1073"/>
        <v>614.57409225244226</v>
      </c>
      <c r="X175" s="3">
        <f t="shared" si="1086"/>
        <v>650</v>
      </c>
      <c r="Y175" s="3">
        <f t="shared" si="1052"/>
        <v>650</v>
      </c>
      <c r="Z175" s="3">
        <f t="shared" si="1025"/>
        <v>650</v>
      </c>
      <c r="AA175" s="3">
        <f t="shared" si="985"/>
        <v>650</v>
      </c>
      <c r="AB175" s="3">
        <f t="shared" si="915"/>
        <v>650</v>
      </c>
      <c r="AC175" s="3">
        <f t="shared" si="1116"/>
        <v>650</v>
      </c>
      <c r="AD175" s="3">
        <f t="shared" si="1116"/>
        <v>650</v>
      </c>
      <c r="AE175" s="3">
        <f t="shared" si="1116"/>
        <v>650</v>
      </c>
      <c r="AF175" s="3">
        <f t="shared" si="1116"/>
        <v>650</v>
      </c>
      <c r="AG175" s="3">
        <f t="shared" si="1116"/>
        <v>650</v>
      </c>
      <c r="AH175" s="3">
        <f t="shared" si="1116"/>
        <v>650</v>
      </c>
      <c r="AI175" s="3">
        <f t="shared" si="1116"/>
        <v>650</v>
      </c>
      <c r="AJ175" s="3">
        <f t="shared" si="1116"/>
        <v>650</v>
      </c>
      <c r="AK175" s="3">
        <f t="shared" si="1116"/>
        <v>650</v>
      </c>
      <c r="AL175" s="5">
        <v>18</v>
      </c>
      <c r="AM175" s="6">
        <f t="shared" si="1108"/>
        <v>0.15740740740740738</v>
      </c>
      <c r="AP175" s="102"/>
      <c r="AQ175" s="101"/>
      <c r="AR175" s="5">
        <v>18</v>
      </c>
      <c r="AS175" s="6">
        <f t="shared" si="1109"/>
        <v>0.15740740740740738</v>
      </c>
      <c r="AT175" s="3">
        <f t="shared" si="1117"/>
        <v>600</v>
      </c>
      <c r="AU175" s="3">
        <f t="shared" si="1117"/>
        <v>600</v>
      </c>
      <c r="AV175" s="3">
        <f t="shared" si="1117"/>
        <v>600</v>
      </c>
      <c r="AW175" s="3">
        <f t="shared" si="1117"/>
        <v>600</v>
      </c>
      <c r="AX175" s="3">
        <f t="shared" si="1117"/>
        <v>600</v>
      </c>
      <c r="AY175" s="3">
        <f t="shared" si="1117"/>
        <v>600</v>
      </c>
      <c r="AZ175" s="3">
        <f t="shared" si="1117"/>
        <v>600</v>
      </c>
      <c r="BA175" s="3">
        <f t="shared" si="1117"/>
        <v>600</v>
      </c>
      <c r="BB175" s="3">
        <f t="shared" si="1117"/>
        <v>600</v>
      </c>
      <c r="BC175" s="3">
        <f t="shared" si="916"/>
        <v>600</v>
      </c>
      <c r="BD175" s="3">
        <f t="shared" si="986"/>
        <v>600</v>
      </c>
      <c r="BE175" s="3">
        <f t="shared" si="1026"/>
        <v>600</v>
      </c>
      <c r="BF175" s="3">
        <f t="shared" si="1053"/>
        <v>600</v>
      </c>
      <c r="BG175" s="3">
        <f t="shared" si="1087"/>
        <v>600</v>
      </c>
      <c r="BH175" s="3">
        <f t="shared" si="1077"/>
        <v>-2196774133.2544093</v>
      </c>
      <c r="BI175" s="3">
        <f t="shared" si="1078"/>
        <v>-2199080767.1176524</v>
      </c>
      <c r="BJ175" s="3">
        <f t="shared" si="1079"/>
        <v>-2204859885.1051645</v>
      </c>
      <c r="BK175" s="3">
        <f t="shared" si="1088"/>
        <v>650</v>
      </c>
      <c r="BL175" s="3">
        <f t="shared" si="1054"/>
        <v>650</v>
      </c>
      <c r="BM175" s="3">
        <f t="shared" si="1032"/>
        <v>650</v>
      </c>
      <c r="BN175" s="3">
        <f t="shared" si="994"/>
        <v>650</v>
      </c>
      <c r="BO175" s="3">
        <f t="shared" si="928"/>
        <v>650</v>
      </c>
      <c r="BP175" s="3">
        <f t="shared" si="1118"/>
        <v>650</v>
      </c>
      <c r="BQ175" s="3">
        <f t="shared" si="1118"/>
        <v>650</v>
      </c>
      <c r="BR175" s="3">
        <f t="shared" si="1118"/>
        <v>650</v>
      </c>
      <c r="BS175" s="3">
        <f t="shared" si="1118"/>
        <v>650</v>
      </c>
      <c r="BT175" s="3">
        <f t="shared" si="1118"/>
        <v>650</v>
      </c>
      <c r="BU175" s="3">
        <f t="shared" si="1118"/>
        <v>650</v>
      </c>
      <c r="BV175" s="3">
        <f t="shared" si="1118"/>
        <v>650</v>
      </c>
      <c r="BW175" s="3">
        <f t="shared" si="1118"/>
        <v>650</v>
      </c>
      <c r="BX175" s="3">
        <f t="shared" si="1118"/>
        <v>650</v>
      </c>
      <c r="BY175" s="5">
        <v>18</v>
      </c>
      <c r="BZ175" s="6">
        <f t="shared" si="1110"/>
        <v>0.15740740740740738</v>
      </c>
      <c r="CC175" s="94"/>
      <c r="CD175" s="95"/>
      <c r="CE175" s="5">
        <v>18</v>
      </c>
      <c r="CF175" s="6">
        <f t="shared" si="1111"/>
        <v>0.15740740740740738</v>
      </c>
      <c r="CG175" s="3">
        <f t="shared" si="1119"/>
        <v>600</v>
      </c>
      <c r="CH175" s="3">
        <f t="shared" si="1119"/>
        <v>600</v>
      </c>
      <c r="CI175" s="3">
        <f t="shared" si="1119"/>
        <v>600</v>
      </c>
      <c r="CJ175" s="3">
        <f t="shared" si="1119"/>
        <v>600</v>
      </c>
      <c r="CK175" s="3">
        <f t="shared" si="1119"/>
        <v>600</v>
      </c>
      <c r="CL175" s="3">
        <f t="shared" si="1119"/>
        <v>600</v>
      </c>
      <c r="CM175" s="3">
        <f t="shared" si="1119"/>
        <v>600</v>
      </c>
      <c r="CN175" s="3">
        <f t="shared" si="1119"/>
        <v>600</v>
      </c>
      <c r="CO175" s="3">
        <f t="shared" si="1119"/>
        <v>600</v>
      </c>
      <c r="CP175" s="3">
        <f t="shared" si="929"/>
        <v>600</v>
      </c>
      <c r="CQ175" s="3">
        <f t="shared" si="995"/>
        <v>600</v>
      </c>
      <c r="CR175" s="3">
        <f t="shared" si="1033"/>
        <v>600</v>
      </c>
      <c r="CS175" s="3">
        <f t="shared" si="1055"/>
        <v>600</v>
      </c>
      <c r="CT175" s="3">
        <f t="shared" si="1089"/>
        <v>600</v>
      </c>
      <c r="CU175" s="3">
        <f t="shared" si="1090"/>
        <v>0.11667843062533659</v>
      </c>
      <c r="CV175" s="3">
        <f t="shared" si="1091"/>
        <v>0.11667843062533659</v>
      </c>
      <c r="CW175" s="3">
        <f t="shared" si="1092"/>
        <v>0.11667843062533659</v>
      </c>
      <c r="CX175" s="3">
        <f t="shared" si="1093"/>
        <v>650</v>
      </c>
      <c r="CY175" s="3">
        <f t="shared" si="1061"/>
        <v>650</v>
      </c>
      <c r="CZ175" s="3">
        <f t="shared" si="1041"/>
        <v>650</v>
      </c>
      <c r="DA175" s="3">
        <f t="shared" si="1005"/>
        <v>650</v>
      </c>
      <c r="DB175" s="3">
        <f t="shared" si="941"/>
        <v>650</v>
      </c>
      <c r="DC175" s="3">
        <f t="shared" si="1120"/>
        <v>650</v>
      </c>
      <c r="DD175" s="3">
        <f t="shared" si="1120"/>
        <v>650</v>
      </c>
      <c r="DE175" s="3">
        <f t="shared" si="1120"/>
        <v>650</v>
      </c>
      <c r="DF175" s="3">
        <f t="shared" si="1120"/>
        <v>650</v>
      </c>
      <c r="DG175" s="3">
        <f t="shared" si="1120"/>
        <v>650</v>
      </c>
      <c r="DH175" s="3">
        <f t="shared" si="1120"/>
        <v>650</v>
      </c>
      <c r="DI175" s="3">
        <f t="shared" si="1120"/>
        <v>650</v>
      </c>
      <c r="DJ175" s="3">
        <f t="shared" si="1120"/>
        <v>650</v>
      </c>
      <c r="DK175" s="3">
        <f t="shared" si="1120"/>
        <v>650</v>
      </c>
      <c r="DL175" s="5">
        <v>18</v>
      </c>
      <c r="DM175" s="6">
        <f t="shared" si="1112"/>
        <v>0.15740740740740738</v>
      </c>
      <c r="DQ175" s="94"/>
      <c r="DR175" s="95"/>
      <c r="DS175" s="5">
        <v>18</v>
      </c>
      <c r="DT175" s="6">
        <f t="shared" si="1113"/>
        <v>0.15740740740740738</v>
      </c>
      <c r="DU175" s="3">
        <f t="shared" si="1121"/>
        <v>600</v>
      </c>
      <c r="DV175" s="3">
        <f t="shared" si="1121"/>
        <v>600</v>
      </c>
      <c r="DW175" s="3">
        <f t="shared" si="1121"/>
        <v>600</v>
      </c>
      <c r="DX175" s="3">
        <f t="shared" si="1121"/>
        <v>600</v>
      </c>
      <c r="DY175" s="3">
        <f t="shared" si="1121"/>
        <v>600</v>
      </c>
      <c r="DZ175" s="3">
        <f t="shared" si="1121"/>
        <v>600</v>
      </c>
      <c r="EA175" s="3">
        <f t="shared" si="1121"/>
        <v>600</v>
      </c>
      <c r="EB175" s="3">
        <f t="shared" si="1121"/>
        <v>600</v>
      </c>
      <c r="EC175" s="3">
        <f t="shared" si="1121"/>
        <v>600</v>
      </c>
      <c r="ED175" s="3">
        <f t="shared" si="942"/>
        <v>600</v>
      </c>
      <c r="EE175" s="3">
        <f t="shared" si="1006"/>
        <v>600</v>
      </c>
      <c r="EF175" s="3">
        <f t="shared" si="1042"/>
        <v>600</v>
      </c>
      <c r="EG175" s="3">
        <f t="shared" si="1062"/>
        <v>600</v>
      </c>
      <c r="EH175" s="3">
        <f t="shared" si="1094"/>
        <v>600</v>
      </c>
      <c r="EI175" s="3">
        <f t="shared" si="1095"/>
        <v>540.73924333746265</v>
      </c>
      <c r="EJ175" s="3">
        <f t="shared" si="1096"/>
        <v>541.30537527615309</v>
      </c>
      <c r="EK175" s="3">
        <f t="shared" si="1097"/>
        <v>542.72875079744676</v>
      </c>
      <c r="EL175" s="3">
        <f t="shared" si="1098"/>
        <v>650</v>
      </c>
      <c r="EM175" s="3">
        <f t="shared" si="1068"/>
        <v>650</v>
      </c>
      <c r="EN175" s="3">
        <f t="shared" si="1050"/>
        <v>650</v>
      </c>
      <c r="EO175" s="3">
        <f t="shared" si="1016"/>
        <v>650</v>
      </c>
      <c r="EP175" s="3">
        <f t="shared" si="954"/>
        <v>650</v>
      </c>
      <c r="EQ175" s="3">
        <f t="shared" si="1122"/>
        <v>650</v>
      </c>
      <c r="ER175" s="3">
        <f t="shared" si="1122"/>
        <v>650</v>
      </c>
      <c r="ES175" s="3">
        <f t="shared" si="1122"/>
        <v>650</v>
      </c>
      <c r="ET175" s="3">
        <f t="shared" si="1122"/>
        <v>650</v>
      </c>
      <c r="EU175" s="3">
        <f t="shared" si="1122"/>
        <v>650</v>
      </c>
      <c r="EV175" s="3">
        <f t="shared" si="1122"/>
        <v>650</v>
      </c>
      <c r="EW175" s="3">
        <f t="shared" si="1122"/>
        <v>650</v>
      </c>
      <c r="EX175" s="3">
        <f t="shared" si="1122"/>
        <v>650</v>
      </c>
      <c r="EY175" s="3">
        <f t="shared" si="1122"/>
        <v>650</v>
      </c>
      <c r="EZ175" s="5">
        <v>18</v>
      </c>
      <c r="FA175" s="6">
        <f t="shared" si="1114"/>
        <v>0.15740740740740738</v>
      </c>
    </row>
    <row r="176" spans="3:157" ht="15" customHeight="1" x14ac:dyDescent="0.3">
      <c r="C176" s="94"/>
      <c r="D176" s="95"/>
      <c r="E176" s="5">
        <v>17</v>
      </c>
      <c r="F176" s="6">
        <f t="shared" si="1107"/>
        <v>0.14814814814814814</v>
      </c>
      <c r="G176" s="3">
        <f t="shared" si="1115"/>
        <v>600</v>
      </c>
      <c r="H176" s="3">
        <f t="shared" si="1115"/>
        <v>600</v>
      </c>
      <c r="I176" s="3">
        <f t="shared" si="1115"/>
        <v>600</v>
      </c>
      <c r="J176" s="3">
        <f t="shared" si="1115"/>
        <v>600</v>
      </c>
      <c r="K176" s="3">
        <f t="shared" si="1115"/>
        <v>600</v>
      </c>
      <c r="L176" s="3">
        <f t="shared" si="1115"/>
        <v>600</v>
      </c>
      <c r="M176" s="3">
        <f t="shared" si="1115"/>
        <v>600</v>
      </c>
      <c r="N176" s="3">
        <f t="shared" si="1115"/>
        <v>600</v>
      </c>
      <c r="O176" s="3">
        <f t="shared" si="1115"/>
        <v>600</v>
      </c>
      <c r="P176" s="3">
        <f t="shared" si="914"/>
        <v>600</v>
      </c>
      <c r="Q176" s="3">
        <f t="shared" si="975"/>
        <v>600</v>
      </c>
      <c r="R176" s="3">
        <f t="shared" si="1017"/>
        <v>600</v>
      </c>
      <c r="S176" s="3">
        <f t="shared" si="1051"/>
        <v>600</v>
      </c>
      <c r="T176" s="3">
        <f t="shared" si="1085"/>
        <v>600</v>
      </c>
      <c r="U176" s="3">
        <f t="shared" si="1071"/>
        <v>613.49427827213617</v>
      </c>
      <c r="V176" s="3">
        <f t="shared" si="1072"/>
        <v>614.19844126623025</v>
      </c>
      <c r="W176" s="3">
        <f t="shared" si="1073"/>
        <v>615.75512346147696</v>
      </c>
      <c r="X176" s="3">
        <f t="shared" si="1086"/>
        <v>650</v>
      </c>
      <c r="Y176" s="3">
        <f t="shared" si="1052"/>
        <v>650</v>
      </c>
      <c r="Z176" s="3">
        <f t="shared" si="1025"/>
        <v>650</v>
      </c>
      <c r="AA176" s="3">
        <f t="shared" si="985"/>
        <v>650</v>
      </c>
      <c r="AB176" s="3">
        <f t="shared" si="915"/>
        <v>650</v>
      </c>
      <c r="AC176" s="3">
        <f t="shared" si="1116"/>
        <v>650</v>
      </c>
      <c r="AD176" s="3">
        <f t="shared" si="1116"/>
        <v>650</v>
      </c>
      <c r="AE176" s="3">
        <f t="shared" si="1116"/>
        <v>650</v>
      </c>
      <c r="AF176" s="3">
        <f t="shared" si="1116"/>
        <v>650</v>
      </c>
      <c r="AG176" s="3">
        <f t="shared" si="1116"/>
        <v>650</v>
      </c>
      <c r="AH176" s="3">
        <f t="shared" si="1116"/>
        <v>650</v>
      </c>
      <c r="AI176" s="3">
        <f t="shared" si="1116"/>
        <v>650</v>
      </c>
      <c r="AJ176" s="3">
        <f t="shared" si="1116"/>
        <v>650</v>
      </c>
      <c r="AK176" s="3">
        <f t="shared" si="1116"/>
        <v>650</v>
      </c>
      <c r="AL176" s="5">
        <v>17</v>
      </c>
      <c r="AM176" s="6">
        <f t="shared" si="1108"/>
        <v>0.14814814814814814</v>
      </c>
      <c r="AP176" s="102"/>
      <c r="AQ176" s="101"/>
      <c r="AR176" s="5">
        <v>17</v>
      </c>
      <c r="AS176" s="6">
        <f t="shared" si="1109"/>
        <v>0.14814814814814814</v>
      </c>
      <c r="AT176" s="3">
        <f t="shared" si="1117"/>
        <v>600</v>
      </c>
      <c r="AU176" s="3">
        <f t="shared" si="1117"/>
        <v>600</v>
      </c>
      <c r="AV176" s="3">
        <f t="shared" si="1117"/>
        <v>600</v>
      </c>
      <c r="AW176" s="3">
        <f t="shared" si="1117"/>
        <v>600</v>
      </c>
      <c r="AX176" s="3">
        <f t="shared" si="1117"/>
        <v>600</v>
      </c>
      <c r="AY176" s="3">
        <f t="shared" si="1117"/>
        <v>600</v>
      </c>
      <c r="AZ176" s="3">
        <f t="shared" si="1117"/>
        <v>600</v>
      </c>
      <c r="BA176" s="3">
        <f t="shared" si="1117"/>
        <v>600</v>
      </c>
      <c r="BB176" s="3">
        <f t="shared" si="1117"/>
        <v>600</v>
      </c>
      <c r="BC176" s="3">
        <f t="shared" si="916"/>
        <v>600</v>
      </c>
      <c r="BD176" s="3">
        <f t="shared" si="986"/>
        <v>600</v>
      </c>
      <c r="BE176" s="3">
        <f t="shared" si="1026"/>
        <v>600</v>
      </c>
      <c r="BF176" s="3">
        <f t="shared" si="1053"/>
        <v>600</v>
      </c>
      <c r="BG176" s="3">
        <f t="shared" si="1087"/>
        <v>600</v>
      </c>
      <c r="BH176" s="3">
        <f t="shared" si="1077"/>
        <v>-2200940476.8958764</v>
      </c>
      <c r="BI176" s="3">
        <f t="shared" si="1078"/>
        <v>-2203337829.4557648</v>
      </c>
      <c r="BJ176" s="3">
        <f t="shared" si="1079"/>
        <v>-2209084094.6305408</v>
      </c>
      <c r="BK176" s="3">
        <f t="shared" si="1088"/>
        <v>650</v>
      </c>
      <c r="BL176" s="3">
        <f t="shared" si="1054"/>
        <v>650</v>
      </c>
      <c r="BM176" s="3">
        <f t="shared" si="1032"/>
        <v>650</v>
      </c>
      <c r="BN176" s="3">
        <f t="shared" si="994"/>
        <v>650</v>
      </c>
      <c r="BO176" s="3">
        <f t="shared" si="928"/>
        <v>650</v>
      </c>
      <c r="BP176" s="3">
        <f t="shared" si="1118"/>
        <v>650</v>
      </c>
      <c r="BQ176" s="3">
        <f t="shared" si="1118"/>
        <v>650</v>
      </c>
      <c r="BR176" s="3">
        <f t="shared" si="1118"/>
        <v>650</v>
      </c>
      <c r="BS176" s="3">
        <f t="shared" si="1118"/>
        <v>650</v>
      </c>
      <c r="BT176" s="3">
        <f t="shared" si="1118"/>
        <v>650</v>
      </c>
      <c r="BU176" s="3">
        <f t="shared" si="1118"/>
        <v>650</v>
      </c>
      <c r="BV176" s="3">
        <f t="shared" si="1118"/>
        <v>650</v>
      </c>
      <c r="BW176" s="3">
        <f t="shared" si="1118"/>
        <v>650</v>
      </c>
      <c r="BX176" s="3">
        <f t="shared" si="1118"/>
        <v>650</v>
      </c>
      <c r="BY176" s="5">
        <v>17</v>
      </c>
      <c r="BZ176" s="6">
        <f t="shared" si="1110"/>
        <v>0.14814814814814814</v>
      </c>
      <c r="CC176" s="94"/>
      <c r="CD176" s="95"/>
      <c r="CE176" s="5">
        <v>17</v>
      </c>
      <c r="CF176" s="6">
        <f t="shared" si="1111"/>
        <v>0.14814814814814814</v>
      </c>
      <c r="CG176" s="3">
        <f t="shared" si="1119"/>
        <v>600</v>
      </c>
      <c r="CH176" s="3">
        <f t="shared" si="1119"/>
        <v>600</v>
      </c>
      <c r="CI176" s="3">
        <f t="shared" si="1119"/>
        <v>600</v>
      </c>
      <c r="CJ176" s="3">
        <f t="shared" si="1119"/>
        <v>600</v>
      </c>
      <c r="CK176" s="3">
        <f t="shared" si="1119"/>
        <v>600</v>
      </c>
      <c r="CL176" s="3">
        <f t="shared" si="1119"/>
        <v>600</v>
      </c>
      <c r="CM176" s="3">
        <f t="shared" si="1119"/>
        <v>600</v>
      </c>
      <c r="CN176" s="3">
        <f t="shared" si="1119"/>
        <v>600</v>
      </c>
      <c r="CO176" s="3">
        <f t="shared" si="1119"/>
        <v>600</v>
      </c>
      <c r="CP176" s="3">
        <f t="shared" si="929"/>
        <v>600</v>
      </c>
      <c r="CQ176" s="3">
        <f t="shared" si="995"/>
        <v>600</v>
      </c>
      <c r="CR176" s="3">
        <f t="shared" si="1033"/>
        <v>600</v>
      </c>
      <c r="CS176" s="3">
        <f t="shared" si="1055"/>
        <v>600</v>
      </c>
      <c r="CT176" s="3">
        <f t="shared" si="1089"/>
        <v>600</v>
      </c>
      <c r="CU176" s="3">
        <f t="shared" si="1090"/>
        <v>0.11667843062533659</v>
      </c>
      <c r="CV176" s="3">
        <f t="shared" si="1091"/>
        <v>0.11667843062533659</v>
      </c>
      <c r="CW176" s="3">
        <f t="shared" si="1092"/>
        <v>0.11667843062533659</v>
      </c>
      <c r="CX176" s="3">
        <f t="shared" si="1093"/>
        <v>650</v>
      </c>
      <c r="CY176" s="3">
        <f t="shared" si="1061"/>
        <v>650</v>
      </c>
      <c r="CZ176" s="3">
        <f t="shared" si="1041"/>
        <v>650</v>
      </c>
      <c r="DA176" s="3">
        <f t="shared" si="1005"/>
        <v>650</v>
      </c>
      <c r="DB176" s="3">
        <f t="shared" si="941"/>
        <v>650</v>
      </c>
      <c r="DC176" s="3">
        <f t="shared" si="1120"/>
        <v>650</v>
      </c>
      <c r="DD176" s="3">
        <f t="shared" si="1120"/>
        <v>650</v>
      </c>
      <c r="DE176" s="3">
        <f t="shared" si="1120"/>
        <v>650</v>
      </c>
      <c r="DF176" s="3">
        <f t="shared" si="1120"/>
        <v>650</v>
      </c>
      <c r="DG176" s="3">
        <f t="shared" si="1120"/>
        <v>650</v>
      </c>
      <c r="DH176" s="3">
        <f t="shared" si="1120"/>
        <v>650</v>
      </c>
      <c r="DI176" s="3">
        <f t="shared" si="1120"/>
        <v>650</v>
      </c>
      <c r="DJ176" s="3">
        <f t="shared" si="1120"/>
        <v>650</v>
      </c>
      <c r="DK176" s="3">
        <f t="shared" si="1120"/>
        <v>650</v>
      </c>
      <c r="DL176" s="5">
        <v>17</v>
      </c>
      <c r="DM176" s="6">
        <f t="shared" si="1112"/>
        <v>0.14814814814814814</v>
      </c>
      <c r="DQ176" s="94"/>
      <c r="DR176" s="95"/>
      <c r="DS176" s="5">
        <v>17</v>
      </c>
      <c r="DT176" s="6">
        <f t="shared" si="1113"/>
        <v>0.14814814814814814</v>
      </c>
      <c r="DU176" s="3">
        <f t="shared" si="1121"/>
        <v>600</v>
      </c>
      <c r="DV176" s="3">
        <f t="shared" si="1121"/>
        <v>600</v>
      </c>
      <c r="DW176" s="3">
        <f t="shared" si="1121"/>
        <v>600</v>
      </c>
      <c r="DX176" s="3">
        <f t="shared" si="1121"/>
        <v>600</v>
      </c>
      <c r="DY176" s="3">
        <f t="shared" si="1121"/>
        <v>600</v>
      </c>
      <c r="DZ176" s="3">
        <f t="shared" si="1121"/>
        <v>600</v>
      </c>
      <c r="EA176" s="3">
        <f t="shared" si="1121"/>
        <v>600</v>
      </c>
      <c r="EB176" s="3">
        <f t="shared" si="1121"/>
        <v>600</v>
      </c>
      <c r="EC176" s="3">
        <f t="shared" si="1121"/>
        <v>600</v>
      </c>
      <c r="ED176" s="3">
        <f t="shared" si="942"/>
        <v>600</v>
      </c>
      <c r="EE176" s="3">
        <f t="shared" si="1006"/>
        <v>600</v>
      </c>
      <c r="EF176" s="3">
        <f t="shared" si="1042"/>
        <v>600</v>
      </c>
      <c r="EG176" s="3">
        <f t="shared" si="1062"/>
        <v>600</v>
      </c>
      <c r="EH176" s="3">
        <f t="shared" si="1094"/>
        <v>600</v>
      </c>
      <c r="EI176" s="3">
        <f t="shared" si="1095"/>
        <v>541.71557242897404</v>
      </c>
      <c r="EJ176" s="3">
        <f t="shared" si="1096"/>
        <v>542.30296312841506</v>
      </c>
      <c r="EK176" s="3">
        <f t="shared" si="1097"/>
        <v>543.71864001522908</v>
      </c>
      <c r="EL176" s="3">
        <f t="shared" si="1098"/>
        <v>650</v>
      </c>
      <c r="EM176" s="3">
        <f t="shared" si="1068"/>
        <v>650</v>
      </c>
      <c r="EN176" s="3">
        <f t="shared" si="1050"/>
        <v>650</v>
      </c>
      <c r="EO176" s="3">
        <f t="shared" si="1016"/>
        <v>650</v>
      </c>
      <c r="EP176" s="3">
        <f t="shared" si="954"/>
        <v>650</v>
      </c>
      <c r="EQ176" s="3">
        <f t="shared" si="1122"/>
        <v>650</v>
      </c>
      <c r="ER176" s="3">
        <f t="shared" si="1122"/>
        <v>650</v>
      </c>
      <c r="ES176" s="3">
        <f t="shared" si="1122"/>
        <v>650</v>
      </c>
      <c r="ET176" s="3">
        <f t="shared" si="1122"/>
        <v>650</v>
      </c>
      <c r="EU176" s="3">
        <f t="shared" si="1122"/>
        <v>650</v>
      </c>
      <c r="EV176" s="3">
        <f t="shared" si="1122"/>
        <v>650</v>
      </c>
      <c r="EW176" s="3">
        <f t="shared" si="1122"/>
        <v>650</v>
      </c>
      <c r="EX176" s="3">
        <f t="shared" si="1122"/>
        <v>650</v>
      </c>
      <c r="EY176" s="3">
        <f t="shared" si="1122"/>
        <v>650</v>
      </c>
      <c r="EZ176" s="5">
        <v>17</v>
      </c>
      <c r="FA176" s="6">
        <f t="shared" si="1114"/>
        <v>0.14814814814814814</v>
      </c>
    </row>
    <row r="177" spans="3:157" ht="15" customHeight="1" x14ac:dyDescent="0.3">
      <c r="C177" s="94"/>
      <c r="D177" s="95"/>
      <c r="E177" s="5">
        <v>16</v>
      </c>
      <c r="F177" s="6">
        <f t="shared" si="1107"/>
        <v>0.1388888888888889</v>
      </c>
      <c r="G177" s="3">
        <f t="shared" si="1115"/>
        <v>600</v>
      </c>
      <c r="H177" s="3">
        <f t="shared" si="1115"/>
        <v>600</v>
      </c>
      <c r="I177" s="3">
        <f t="shared" si="1115"/>
        <v>600</v>
      </c>
      <c r="J177" s="3">
        <f t="shared" si="1115"/>
        <v>600</v>
      </c>
      <c r="K177" s="3">
        <f t="shared" si="1115"/>
        <v>600</v>
      </c>
      <c r="L177" s="3">
        <f t="shared" si="1115"/>
        <v>600</v>
      </c>
      <c r="M177" s="3">
        <f t="shared" si="1115"/>
        <v>600</v>
      </c>
      <c r="N177" s="3">
        <f t="shared" si="1115"/>
        <v>600</v>
      </c>
      <c r="O177" s="3">
        <f t="shared" si="1115"/>
        <v>600</v>
      </c>
      <c r="P177" s="3">
        <f t="shared" si="914"/>
        <v>600</v>
      </c>
      <c r="Q177" s="3">
        <f t="shared" si="975"/>
        <v>600</v>
      </c>
      <c r="R177" s="3">
        <f t="shared" si="1017"/>
        <v>600</v>
      </c>
      <c r="S177" s="3">
        <f t="shared" si="1051"/>
        <v>600</v>
      </c>
      <c r="T177" s="3">
        <f>($F$5*$B$5*T49+$F$4*T114)/($F$4+$F$5*$B$5)</f>
        <v>614.44657610933245</v>
      </c>
      <c r="U177" s="3">
        <f t="shared" si="1071"/>
        <v>615.18401866107581</v>
      </c>
      <c r="V177" s="3">
        <f t="shared" si="1072"/>
        <v>616.18482312876745</v>
      </c>
      <c r="W177" s="3">
        <f t="shared" si="1073"/>
        <v>617.39331820088114</v>
      </c>
      <c r="X177" s="3">
        <f t="shared" ref="X177" si="1123">($F$5*$B$5*X49+$F$4*X114)/($F$4+$F$5*$B$5)</f>
        <v>621.35055704943761</v>
      </c>
      <c r="Y177" s="3">
        <f t="shared" si="1052"/>
        <v>650</v>
      </c>
      <c r="Z177" s="3">
        <f t="shared" si="1025"/>
        <v>650</v>
      </c>
      <c r="AA177" s="3">
        <f t="shared" si="985"/>
        <v>650</v>
      </c>
      <c r="AB177" s="3">
        <f t="shared" si="915"/>
        <v>650</v>
      </c>
      <c r="AC177" s="3">
        <f t="shared" si="1116"/>
        <v>650</v>
      </c>
      <c r="AD177" s="3">
        <f t="shared" si="1116"/>
        <v>650</v>
      </c>
      <c r="AE177" s="3">
        <f t="shared" si="1116"/>
        <v>650</v>
      </c>
      <c r="AF177" s="3">
        <f t="shared" si="1116"/>
        <v>650</v>
      </c>
      <c r="AG177" s="3">
        <f t="shared" si="1116"/>
        <v>650</v>
      </c>
      <c r="AH177" s="3">
        <f t="shared" si="1116"/>
        <v>650</v>
      </c>
      <c r="AI177" s="3">
        <f t="shared" si="1116"/>
        <v>650</v>
      </c>
      <c r="AJ177" s="3">
        <f t="shared" si="1116"/>
        <v>650</v>
      </c>
      <c r="AK177" s="3">
        <f t="shared" si="1116"/>
        <v>650</v>
      </c>
      <c r="AL177" s="5">
        <v>16</v>
      </c>
      <c r="AM177" s="6">
        <f t="shared" si="1108"/>
        <v>0.1388888888888889</v>
      </c>
      <c r="AP177" s="102"/>
      <c r="AQ177" s="101"/>
      <c r="AR177" s="5">
        <v>16</v>
      </c>
      <c r="AS177" s="6">
        <f t="shared" si="1109"/>
        <v>0.1388888888888889</v>
      </c>
      <c r="AT177" s="3">
        <f t="shared" si="1117"/>
        <v>600</v>
      </c>
      <c r="AU177" s="3">
        <f t="shared" si="1117"/>
        <v>600</v>
      </c>
      <c r="AV177" s="3">
        <f t="shared" si="1117"/>
        <v>600</v>
      </c>
      <c r="AW177" s="3">
        <f t="shared" si="1117"/>
        <v>600</v>
      </c>
      <c r="AX177" s="3">
        <f t="shared" si="1117"/>
        <v>600</v>
      </c>
      <c r="AY177" s="3">
        <f t="shared" si="1117"/>
        <v>600</v>
      </c>
      <c r="AZ177" s="3">
        <f t="shared" si="1117"/>
        <v>600</v>
      </c>
      <c r="BA177" s="3">
        <f t="shared" si="1117"/>
        <v>600</v>
      </c>
      <c r="BB177" s="3">
        <f t="shared" si="1117"/>
        <v>600</v>
      </c>
      <c r="BC177" s="3">
        <f t="shared" si="916"/>
        <v>600</v>
      </c>
      <c r="BD177" s="3">
        <f t="shared" si="986"/>
        <v>600</v>
      </c>
      <c r="BE177" s="3">
        <f t="shared" si="1026"/>
        <v>600</v>
      </c>
      <c r="BF177" s="3">
        <f t="shared" si="1053"/>
        <v>600</v>
      </c>
      <c r="BG177" s="7"/>
      <c r="BH177" s="3">
        <f t="shared" si="1077"/>
        <v>-2207652892.5381656</v>
      </c>
      <c r="BI177" s="3">
        <f t="shared" si="1078"/>
        <v>-2211375686.1847725</v>
      </c>
      <c r="BJ177" s="3">
        <f t="shared" si="1079"/>
        <v>-2215556166.2343264</v>
      </c>
      <c r="BK177" s="7"/>
      <c r="BL177" s="3">
        <f t="shared" si="1054"/>
        <v>650</v>
      </c>
      <c r="BM177" s="3">
        <f t="shared" si="1032"/>
        <v>650</v>
      </c>
      <c r="BN177" s="3">
        <f t="shared" si="994"/>
        <v>650</v>
      </c>
      <c r="BO177" s="3">
        <f t="shared" si="928"/>
        <v>650</v>
      </c>
      <c r="BP177" s="3">
        <f t="shared" si="1118"/>
        <v>650</v>
      </c>
      <c r="BQ177" s="3">
        <f t="shared" si="1118"/>
        <v>650</v>
      </c>
      <c r="BR177" s="3">
        <f t="shared" si="1118"/>
        <v>650</v>
      </c>
      <c r="BS177" s="3">
        <f t="shared" si="1118"/>
        <v>650</v>
      </c>
      <c r="BT177" s="3">
        <f t="shared" si="1118"/>
        <v>650</v>
      </c>
      <c r="BU177" s="3">
        <f t="shared" si="1118"/>
        <v>650</v>
      </c>
      <c r="BV177" s="3">
        <f t="shared" si="1118"/>
        <v>650</v>
      </c>
      <c r="BW177" s="3">
        <f t="shared" si="1118"/>
        <v>650</v>
      </c>
      <c r="BX177" s="3">
        <f t="shared" si="1118"/>
        <v>650</v>
      </c>
      <c r="BY177" s="5">
        <v>16</v>
      </c>
      <c r="BZ177" s="6">
        <f t="shared" si="1110"/>
        <v>0.1388888888888889</v>
      </c>
      <c r="CC177" s="94"/>
      <c r="CD177" s="95"/>
      <c r="CE177" s="5">
        <v>16</v>
      </c>
      <c r="CF177" s="6">
        <f t="shared" si="1111"/>
        <v>0.1388888888888889</v>
      </c>
      <c r="CG177" s="3">
        <f t="shared" si="1119"/>
        <v>600</v>
      </c>
      <c r="CH177" s="3">
        <f t="shared" si="1119"/>
        <v>600</v>
      </c>
      <c r="CI177" s="3">
        <f t="shared" si="1119"/>
        <v>600</v>
      </c>
      <c r="CJ177" s="3">
        <f t="shared" si="1119"/>
        <v>600</v>
      </c>
      <c r="CK177" s="3">
        <f t="shared" si="1119"/>
        <v>600</v>
      </c>
      <c r="CL177" s="3">
        <f t="shared" si="1119"/>
        <v>600</v>
      </c>
      <c r="CM177" s="3">
        <f t="shared" si="1119"/>
        <v>600</v>
      </c>
      <c r="CN177" s="3">
        <f t="shared" si="1119"/>
        <v>600</v>
      </c>
      <c r="CO177" s="3">
        <f t="shared" si="1119"/>
        <v>600</v>
      </c>
      <c r="CP177" s="3">
        <f t="shared" si="929"/>
        <v>600</v>
      </c>
      <c r="CQ177" s="3">
        <f t="shared" si="995"/>
        <v>600</v>
      </c>
      <c r="CR177" s="3">
        <f t="shared" si="1033"/>
        <v>600</v>
      </c>
      <c r="CS177" s="3">
        <f t="shared" si="1055"/>
        <v>600</v>
      </c>
      <c r="CT177" s="3">
        <v>0</v>
      </c>
      <c r="CU177" s="3">
        <f t="shared" si="1090"/>
        <v>0.11667843062533659</v>
      </c>
      <c r="CV177" s="3">
        <f t="shared" si="1091"/>
        <v>0.11667843062533659</v>
      </c>
      <c r="CW177" s="3">
        <f t="shared" si="1092"/>
        <v>0.11667843062533659</v>
      </c>
      <c r="CX177" s="3">
        <v>0</v>
      </c>
      <c r="CY177" s="3">
        <f t="shared" si="1061"/>
        <v>650</v>
      </c>
      <c r="CZ177" s="3">
        <f t="shared" si="1041"/>
        <v>650</v>
      </c>
      <c r="DA177" s="3">
        <f t="shared" si="1005"/>
        <v>650</v>
      </c>
      <c r="DB177" s="3">
        <f t="shared" si="941"/>
        <v>650</v>
      </c>
      <c r="DC177" s="3">
        <f t="shared" si="1120"/>
        <v>650</v>
      </c>
      <c r="DD177" s="3">
        <f t="shared" si="1120"/>
        <v>650</v>
      </c>
      <c r="DE177" s="3">
        <f t="shared" si="1120"/>
        <v>650</v>
      </c>
      <c r="DF177" s="3">
        <f t="shared" si="1120"/>
        <v>650</v>
      </c>
      <c r="DG177" s="3">
        <f t="shared" si="1120"/>
        <v>650</v>
      </c>
      <c r="DH177" s="3">
        <f t="shared" si="1120"/>
        <v>650</v>
      </c>
      <c r="DI177" s="3">
        <f t="shared" si="1120"/>
        <v>650</v>
      </c>
      <c r="DJ177" s="3">
        <f t="shared" si="1120"/>
        <v>650</v>
      </c>
      <c r="DK177" s="3">
        <f t="shared" si="1120"/>
        <v>650</v>
      </c>
      <c r="DL177" s="5">
        <v>16</v>
      </c>
      <c r="DM177" s="6">
        <f t="shared" si="1112"/>
        <v>0.1388888888888889</v>
      </c>
      <c r="DQ177" s="94"/>
      <c r="DR177" s="95"/>
      <c r="DS177" s="5">
        <v>16</v>
      </c>
      <c r="DT177" s="6">
        <f t="shared" si="1113"/>
        <v>0.1388888888888889</v>
      </c>
      <c r="DU177" s="3">
        <f t="shared" si="1121"/>
        <v>600</v>
      </c>
      <c r="DV177" s="3">
        <f t="shared" si="1121"/>
        <v>600</v>
      </c>
      <c r="DW177" s="3">
        <f t="shared" si="1121"/>
        <v>600</v>
      </c>
      <c r="DX177" s="3">
        <f t="shared" si="1121"/>
        <v>600</v>
      </c>
      <c r="DY177" s="3">
        <f t="shared" si="1121"/>
        <v>600</v>
      </c>
      <c r="DZ177" s="3">
        <f t="shared" si="1121"/>
        <v>600</v>
      </c>
      <c r="EA177" s="3">
        <f t="shared" si="1121"/>
        <v>600</v>
      </c>
      <c r="EB177" s="3">
        <f t="shared" si="1121"/>
        <v>600</v>
      </c>
      <c r="EC177" s="3">
        <f t="shared" si="1121"/>
        <v>600</v>
      </c>
      <c r="ED177" s="3">
        <f t="shared" si="942"/>
        <v>600</v>
      </c>
      <c r="EE177" s="3">
        <f t="shared" si="1006"/>
        <v>600</v>
      </c>
      <c r="EF177" s="3">
        <f t="shared" si="1042"/>
        <v>600</v>
      </c>
      <c r="EG177" s="3">
        <f t="shared" si="1062"/>
        <v>600</v>
      </c>
      <c r="EH177" s="3">
        <f t="shared" ref="EH177" si="1124">T177</f>
        <v>614.44657610933245</v>
      </c>
      <c r="EI177" s="3">
        <f t="shared" ref="EI177:EI192" si="1125">(EI176*$O$4-BH177)/($O$3-$O$4*CU176)</f>
        <v>543.2891905519914</v>
      </c>
      <c r="EJ177" s="3">
        <f t="shared" ref="EJ177:EJ192" si="1126">(EJ176*$O$4-BI177)/($O$3-$O$4*CV176)</f>
        <v>544.16729599330336</v>
      </c>
      <c r="EK177" s="3">
        <f t="shared" ref="EK177:EK192" si="1127">(EK176*$O$4-BJ177)/($O$3-$O$4*CW176)</f>
        <v>545.24157439353826</v>
      </c>
      <c r="EL177" s="3">
        <f t="shared" ref="EL177" si="1128">X177</f>
        <v>621.35055704943761</v>
      </c>
      <c r="EM177" s="3">
        <f t="shared" si="1068"/>
        <v>650</v>
      </c>
      <c r="EN177" s="3">
        <f t="shared" si="1050"/>
        <v>650</v>
      </c>
      <c r="EO177" s="3">
        <f t="shared" si="1016"/>
        <v>650</v>
      </c>
      <c r="EP177" s="3">
        <f t="shared" si="954"/>
        <v>650</v>
      </c>
      <c r="EQ177" s="3">
        <f t="shared" si="1122"/>
        <v>650</v>
      </c>
      <c r="ER177" s="3">
        <f t="shared" si="1122"/>
        <v>650</v>
      </c>
      <c r="ES177" s="3">
        <f t="shared" si="1122"/>
        <v>650</v>
      </c>
      <c r="ET177" s="3">
        <f t="shared" si="1122"/>
        <v>650</v>
      </c>
      <c r="EU177" s="3">
        <f t="shared" si="1122"/>
        <v>650</v>
      </c>
      <c r="EV177" s="3">
        <f t="shared" si="1122"/>
        <v>650</v>
      </c>
      <c r="EW177" s="3">
        <f t="shared" si="1122"/>
        <v>650</v>
      </c>
      <c r="EX177" s="3">
        <f t="shared" si="1122"/>
        <v>650</v>
      </c>
      <c r="EY177" s="3">
        <f t="shared" si="1122"/>
        <v>650</v>
      </c>
      <c r="EZ177" s="5">
        <v>16</v>
      </c>
      <c r="FA177" s="6">
        <f t="shared" si="1114"/>
        <v>0.1388888888888889</v>
      </c>
    </row>
    <row r="178" spans="3:157" ht="15" customHeight="1" x14ac:dyDescent="0.3">
      <c r="C178" s="94"/>
      <c r="D178" s="95"/>
      <c r="E178" s="5">
        <v>15</v>
      </c>
      <c r="F178" s="6">
        <f t="shared" si="1107"/>
        <v>0.12962962962962962</v>
      </c>
      <c r="G178" s="3">
        <f t="shared" ref="G178:O185" si="1129">$R$2</f>
        <v>600</v>
      </c>
      <c r="H178" s="3">
        <f t="shared" si="1129"/>
        <v>600</v>
      </c>
      <c r="I178" s="3">
        <f t="shared" si="1129"/>
        <v>600</v>
      </c>
      <c r="J178" s="3">
        <f t="shared" si="1129"/>
        <v>600</v>
      </c>
      <c r="K178" s="3">
        <f t="shared" si="1129"/>
        <v>600</v>
      </c>
      <c r="L178" s="3">
        <f t="shared" si="1129"/>
        <v>600</v>
      </c>
      <c r="M178" s="3">
        <f t="shared" si="1129"/>
        <v>600</v>
      </c>
      <c r="N178" s="3">
        <f t="shared" si="1129"/>
        <v>600</v>
      </c>
      <c r="O178" s="3">
        <f t="shared" si="1129"/>
        <v>600</v>
      </c>
      <c r="P178" s="3">
        <f t="shared" si="914"/>
        <v>600</v>
      </c>
      <c r="Q178" s="3">
        <f t="shared" si="975"/>
        <v>600</v>
      </c>
      <c r="R178" s="3">
        <f t="shared" si="1017"/>
        <v>600</v>
      </c>
      <c r="S178" s="3">
        <f t="shared" si="1051"/>
        <v>600</v>
      </c>
      <c r="T178" s="3">
        <f t="shared" ref="S178:T190" si="1130">CT178*T179+EH178</f>
        <v>615.22789977615901</v>
      </c>
      <c r="U178" s="3">
        <f t="shared" si="1071"/>
        <v>616.17925201568926</v>
      </c>
      <c r="V178" s="3">
        <f t="shared" si="1072"/>
        <v>617.23085191913401</v>
      </c>
      <c r="W178" s="3">
        <f t="shared" ref="W178:W181" si="1131">CW178*W179+EK178</f>
        <v>618.38116454469332</v>
      </c>
      <c r="X178" s="3">
        <f t="shared" si="1073"/>
        <v>619.92272806646383</v>
      </c>
      <c r="Y178" s="3">
        <f t="shared" si="1052"/>
        <v>650</v>
      </c>
      <c r="Z178" s="3">
        <f t="shared" si="1025"/>
        <v>650</v>
      </c>
      <c r="AA178" s="3">
        <f t="shared" si="985"/>
        <v>650</v>
      </c>
      <c r="AB178" s="3">
        <f t="shared" si="915"/>
        <v>650</v>
      </c>
      <c r="AC178" s="3">
        <f t="shared" ref="AC178:AK185" si="1132">$R$3</f>
        <v>650</v>
      </c>
      <c r="AD178" s="3">
        <f t="shared" si="1132"/>
        <v>650</v>
      </c>
      <c r="AE178" s="3">
        <f t="shared" si="1132"/>
        <v>650</v>
      </c>
      <c r="AF178" s="3">
        <f t="shared" si="1132"/>
        <v>650</v>
      </c>
      <c r="AG178" s="3">
        <f t="shared" si="1132"/>
        <v>650</v>
      </c>
      <c r="AH178" s="3">
        <f t="shared" si="1132"/>
        <v>650</v>
      </c>
      <c r="AI178" s="3">
        <f t="shared" si="1132"/>
        <v>650</v>
      </c>
      <c r="AJ178" s="3">
        <f t="shared" si="1132"/>
        <v>650</v>
      </c>
      <c r="AK178" s="3">
        <f t="shared" si="1132"/>
        <v>650</v>
      </c>
      <c r="AL178" s="5">
        <v>15</v>
      </c>
      <c r="AM178" s="6">
        <f t="shared" si="1108"/>
        <v>0.12962962962962962</v>
      </c>
      <c r="AP178" s="102"/>
      <c r="AQ178" s="101"/>
      <c r="AR178" s="5">
        <v>15</v>
      </c>
      <c r="AS178" s="6">
        <f t="shared" si="1109"/>
        <v>0.12962962962962962</v>
      </c>
      <c r="AT178" s="3">
        <f t="shared" ref="AT178:BB185" si="1133">$R$2</f>
        <v>600</v>
      </c>
      <c r="AU178" s="3">
        <f t="shared" si="1133"/>
        <v>600</v>
      </c>
      <c r="AV178" s="3">
        <f t="shared" si="1133"/>
        <v>600</v>
      </c>
      <c r="AW178" s="3">
        <f t="shared" si="1133"/>
        <v>600</v>
      </c>
      <c r="AX178" s="3">
        <f t="shared" si="1133"/>
        <v>600</v>
      </c>
      <c r="AY178" s="3">
        <f t="shared" si="1133"/>
        <v>600</v>
      </c>
      <c r="AZ178" s="3">
        <f t="shared" si="1133"/>
        <v>600</v>
      </c>
      <c r="BA178" s="3">
        <f t="shared" si="1133"/>
        <v>600</v>
      </c>
      <c r="BB178" s="3">
        <f t="shared" si="1133"/>
        <v>600</v>
      </c>
      <c r="BC178" s="3">
        <f t="shared" si="916"/>
        <v>600</v>
      </c>
      <c r="BD178" s="3">
        <f t="shared" si="986"/>
        <v>600</v>
      </c>
      <c r="BE178" s="3">
        <f t="shared" si="1026"/>
        <v>600</v>
      </c>
      <c r="BF178" s="3">
        <f t="shared" si="1053"/>
        <v>600</v>
      </c>
      <c r="BG178" s="3">
        <f t="shared" si="1077"/>
        <v>-2207639202.911026</v>
      </c>
      <c r="BH178" s="3">
        <f t="shared" si="1077"/>
        <v>-2211149410.2207718</v>
      </c>
      <c r="BI178" s="3">
        <f t="shared" si="1078"/>
        <v>-2214946590.8691359</v>
      </c>
      <c r="BJ178" s="3">
        <f t="shared" si="1079"/>
        <v>-2219052037.7305884</v>
      </c>
      <c r="BK178" s="3">
        <f t="shared" ref="BK178:BK192" si="1134">-($F$3*$F$2)/$B$8*X114</f>
        <v>-2223446714.5596647</v>
      </c>
      <c r="BL178" s="3">
        <f t="shared" si="1054"/>
        <v>650</v>
      </c>
      <c r="BM178" s="3">
        <f t="shared" si="1032"/>
        <v>650</v>
      </c>
      <c r="BN178" s="3">
        <f t="shared" si="994"/>
        <v>650</v>
      </c>
      <c r="BO178" s="3">
        <f t="shared" si="928"/>
        <v>650</v>
      </c>
      <c r="BP178" s="3">
        <f t="shared" ref="BP178:BX185" si="1135">$R$3</f>
        <v>650</v>
      </c>
      <c r="BQ178" s="3">
        <f t="shared" si="1135"/>
        <v>650</v>
      </c>
      <c r="BR178" s="3">
        <f t="shared" si="1135"/>
        <v>650</v>
      </c>
      <c r="BS178" s="3">
        <f t="shared" si="1135"/>
        <v>650</v>
      </c>
      <c r="BT178" s="3">
        <f t="shared" si="1135"/>
        <v>650</v>
      </c>
      <c r="BU178" s="3">
        <f t="shared" si="1135"/>
        <v>650</v>
      </c>
      <c r="BV178" s="3">
        <f t="shared" si="1135"/>
        <v>650</v>
      </c>
      <c r="BW178" s="3">
        <f t="shared" si="1135"/>
        <v>650</v>
      </c>
      <c r="BX178" s="3">
        <f t="shared" si="1135"/>
        <v>650</v>
      </c>
      <c r="BY178" s="5">
        <v>15</v>
      </c>
      <c r="BZ178" s="6">
        <f t="shared" si="1110"/>
        <v>0.12962962962962962</v>
      </c>
      <c r="CC178" s="94"/>
      <c r="CD178" s="95"/>
      <c r="CE178" s="5">
        <v>15</v>
      </c>
      <c r="CF178" s="6">
        <f t="shared" si="1111"/>
        <v>0.12962962962962962</v>
      </c>
      <c r="CG178" s="3">
        <f t="shared" ref="CG178:CO185" si="1136">$R$2</f>
        <v>600</v>
      </c>
      <c r="CH178" s="3">
        <f t="shared" si="1136"/>
        <v>600</v>
      </c>
      <c r="CI178" s="3">
        <f t="shared" si="1136"/>
        <v>600</v>
      </c>
      <c r="CJ178" s="3">
        <f t="shared" si="1136"/>
        <v>600</v>
      </c>
      <c r="CK178" s="3">
        <f t="shared" si="1136"/>
        <v>600</v>
      </c>
      <c r="CL178" s="3">
        <f t="shared" si="1136"/>
        <v>600</v>
      </c>
      <c r="CM178" s="3">
        <f t="shared" si="1136"/>
        <v>600</v>
      </c>
      <c r="CN178" s="3">
        <f t="shared" si="1136"/>
        <v>600</v>
      </c>
      <c r="CO178" s="3">
        <f t="shared" si="1136"/>
        <v>600</v>
      </c>
      <c r="CP178" s="3">
        <f t="shared" si="929"/>
        <v>600</v>
      </c>
      <c r="CQ178" s="3">
        <f t="shared" si="995"/>
        <v>600</v>
      </c>
      <c r="CR178" s="3">
        <f t="shared" si="1033"/>
        <v>600</v>
      </c>
      <c r="CS178" s="3">
        <f t="shared" si="1055"/>
        <v>600</v>
      </c>
      <c r="CT178" s="3">
        <f t="shared" ref="CT178:CT179" si="1137">$O$2/($O$3-$O$4*CT177)</f>
        <v>0.11511132164850782</v>
      </c>
      <c r="CU178" s="3">
        <f t="shared" si="1090"/>
        <v>0.11667843062533659</v>
      </c>
      <c r="CV178" s="3">
        <f t="shared" si="1091"/>
        <v>0.11667843062533659</v>
      </c>
      <c r="CW178" s="3">
        <f t="shared" si="1092"/>
        <v>0.11667843062533659</v>
      </c>
      <c r="CX178" s="3">
        <f t="shared" ref="CX178:CX179" si="1138">$O$2/($O$3-$O$4*CX177)</f>
        <v>0.11511132164850782</v>
      </c>
      <c r="CY178" s="3">
        <f t="shared" si="1061"/>
        <v>650</v>
      </c>
      <c r="CZ178" s="3">
        <f t="shared" si="1041"/>
        <v>650</v>
      </c>
      <c r="DA178" s="3">
        <f t="shared" si="1005"/>
        <v>650</v>
      </c>
      <c r="DB178" s="3">
        <f t="shared" si="941"/>
        <v>650</v>
      </c>
      <c r="DC178" s="3">
        <f t="shared" ref="DC178:DK185" si="1139">$R$3</f>
        <v>650</v>
      </c>
      <c r="DD178" s="3">
        <f t="shared" si="1139"/>
        <v>650</v>
      </c>
      <c r="DE178" s="3">
        <f t="shared" si="1139"/>
        <v>650</v>
      </c>
      <c r="DF178" s="3">
        <f t="shared" si="1139"/>
        <v>650</v>
      </c>
      <c r="DG178" s="3">
        <f t="shared" si="1139"/>
        <v>650</v>
      </c>
      <c r="DH178" s="3">
        <f t="shared" si="1139"/>
        <v>650</v>
      </c>
      <c r="DI178" s="3">
        <f t="shared" si="1139"/>
        <v>650</v>
      </c>
      <c r="DJ178" s="3">
        <f t="shared" si="1139"/>
        <v>650</v>
      </c>
      <c r="DK178" s="3">
        <f t="shared" si="1139"/>
        <v>650</v>
      </c>
      <c r="DL178" s="5">
        <v>15</v>
      </c>
      <c r="DM178" s="6">
        <f t="shared" si="1112"/>
        <v>0.12962962962962962</v>
      </c>
      <c r="DQ178" s="94"/>
      <c r="DR178" s="95"/>
      <c r="DS178" s="5">
        <v>15</v>
      </c>
      <c r="DT178" s="6">
        <f t="shared" si="1113"/>
        <v>0.12962962962962962</v>
      </c>
      <c r="DU178" s="3">
        <f t="shared" ref="DU178:EC185" si="1140">$R$2</f>
        <v>600</v>
      </c>
      <c r="DV178" s="3">
        <f t="shared" si="1140"/>
        <v>600</v>
      </c>
      <c r="DW178" s="3">
        <f t="shared" si="1140"/>
        <v>600</v>
      </c>
      <c r="DX178" s="3">
        <f t="shared" si="1140"/>
        <v>600</v>
      </c>
      <c r="DY178" s="3">
        <f t="shared" si="1140"/>
        <v>600</v>
      </c>
      <c r="DZ178" s="3">
        <f t="shared" si="1140"/>
        <v>600</v>
      </c>
      <c r="EA178" s="3">
        <f t="shared" si="1140"/>
        <v>600</v>
      </c>
      <c r="EB178" s="3">
        <f t="shared" si="1140"/>
        <v>600</v>
      </c>
      <c r="EC178" s="3">
        <f t="shared" si="1140"/>
        <v>600</v>
      </c>
      <c r="ED178" s="3">
        <f t="shared" si="942"/>
        <v>600</v>
      </c>
      <c r="EE178" s="3">
        <f t="shared" si="1006"/>
        <v>600</v>
      </c>
      <c r="EF178" s="3">
        <f t="shared" si="1042"/>
        <v>600</v>
      </c>
      <c r="EG178" s="3">
        <f t="shared" si="1062"/>
        <v>600</v>
      </c>
      <c r="EH178" s="3">
        <f t="shared" ref="EH178:EH180" si="1141">(EH177*$O$4-BG178)/($O$3-$O$4*CT177)</f>
        <v>544.36149384929695</v>
      </c>
      <c r="EI178" s="3">
        <f t="shared" ref="EI178:EI180" si="1142">(EI177*$O$4-BH178)/($O$3-$O$4*CU177)</f>
        <v>544.23316082707447</v>
      </c>
      <c r="EJ178" s="3">
        <f t="shared" ref="EJ178:EJ180" si="1143">(EJ177*$O$4-BI178)/($O$3-$O$4*CV177)</f>
        <v>545.16136282362675</v>
      </c>
      <c r="EK178" s="3">
        <f t="shared" ref="EK178:EK180" si="1144">(EK177*$O$4-BJ178)/($O$3-$O$4*CW177)</f>
        <v>546.17949044725458</v>
      </c>
      <c r="EL178" s="3">
        <f t="shared" ref="EL178:EL180" si="1145">(EL177*$O$4-BK178)/($O$3-$O$4*CX177)</f>
        <v>548.54759829490411</v>
      </c>
      <c r="EM178" s="3">
        <f t="shared" si="1068"/>
        <v>650</v>
      </c>
      <c r="EN178" s="3">
        <f t="shared" si="1050"/>
        <v>650</v>
      </c>
      <c r="EO178" s="3">
        <f t="shared" si="1016"/>
        <v>650</v>
      </c>
      <c r="EP178" s="3">
        <f t="shared" si="954"/>
        <v>650</v>
      </c>
      <c r="EQ178" s="3">
        <f t="shared" ref="EQ178:EY185" si="1146">$R$3</f>
        <v>650</v>
      </c>
      <c r="ER178" s="3">
        <f t="shared" si="1146"/>
        <v>650</v>
      </c>
      <c r="ES178" s="3">
        <f t="shared" si="1146"/>
        <v>650</v>
      </c>
      <c r="ET178" s="3">
        <f t="shared" si="1146"/>
        <v>650</v>
      </c>
      <c r="EU178" s="3">
        <f t="shared" si="1146"/>
        <v>650</v>
      </c>
      <c r="EV178" s="3">
        <f t="shared" si="1146"/>
        <v>650</v>
      </c>
      <c r="EW178" s="3">
        <f t="shared" si="1146"/>
        <v>650</v>
      </c>
      <c r="EX178" s="3">
        <f t="shared" si="1146"/>
        <v>650</v>
      </c>
      <c r="EY178" s="3">
        <f t="shared" si="1146"/>
        <v>650</v>
      </c>
      <c r="EZ178" s="5">
        <v>15</v>
      </c>
      <c r="FA178" s="6">
        <f t="shared" si="1114"/>
        <v>0.12962962962962962</v>
      </c>
    </row>
    <row r="179" spans="3:157" ht="15" customHeight="1" x14ac:dyDescent="0.3">
      <c r="C179" s="94"/>
      <c r="D179" s="95"/>
      <c r="E179" s="5">
        <v>14</v>
      </c>
      <c r="F179" s="6">
        <f t="shared" si="1107"/>
        <v>0.12037037037037036</v>
      </c>
      <c r="G179" s="3">
        <f t="shared" si="1129"/>
        <v>600</v>
      </c>
      <c r="H179" s="3">
        <f t="shared" si="1129"/>
        <v>600</v>
      </c>
      <c r="I179" s="3">
        <f t="shared" si="1129"/>
        <v>600</v>
      </c>
      <c r="J179" s="3">
        <f t="shared" si="1129"/>
        <v>600</v>
      </c>
      <c r="K179" s="3">
        <f t="shared" si="1129"/>
        <v>600</v>
      </c>
      <c r="L179" s="3">
        <f t="shared" si="1129"/>
        <v>600</v>
      </c>
      <c r="M179" s="3">
        <f t="shared" si="1129"/>
        <v>600</v>
      </c>
      <c r="N179" s="3">
        <f t="shared" si="1129"/>
        <v>600</v>
      </c>
      <c r="O179" s="3">
        <f t="shared" si="1129"/>
        <v>600</v>
      </c>
      <c r="P179" s="3">
        <f t="shared" si="914"/>
        <v>600</v>
      </c>
      <c r="Q179" s="3">
        <f t="shared" si="975"/>
        <v>600</v>
      </c>
      <c r="R179" s="3">
        <f t="shared" si="1017"/>
        <v>600</v>
      </c>
      <c r="S179" s="3">
        <f t="shared" si="1051"/>
        <v>600</v>
      </c>
      <c r="T179" s="3">
        <f t="shared" si="1130"/>
        <v>615.63367453335741</v>
      </c>
      <c r="U179" s="3">
        <f t="shared" si="1071"/>
        <v>616.61860553849272</v>
      </c>
      <c r="V179" s="3">
        <f t="shared" si="1072"/>
        <v>617.67619524235727</v>
      </c>
      <c r="W179" s="3">
        <f t="shared" si="1131"/>
        <v>618.80909530985946</v>
      </c>
      <c r="X179" s="3">
        <f t="shared" si="1073"/>
        <v>620.0530820895583</v>
      </c>
      <c r="Y179" s="3">
        <f t="shared" si="1052"/>
        <v>650</v>
      </c>
      <c r="Z179" s="3">
        <f t="shared" si="1025"/>
        <v>650</v>
      </c>
      <c r="AA179" s="3">
        <f t="shared" si="985"/>
        <v>650</v>
      </c>
      <c r="AB179" s="3">
        <f t="shared" si="915"/>
        <v>650</v>
      </c>
      <c r="AC179" s="3">
        <f t="shared" si="1132"/>
        <v>650</v>
      </c>
      <c r="AD179" s="3">
        <f t="shared" si="1132"/>
        <v>650</v>
      </c>
      <c r="AE179" s="3">
        <f t="shared" si="1132"/>
        <v>650</v>
      </c>
      <c r="AF179" s="3">
        <f t="shared" si="1132"/>
        <v>650</v>
      </c>
      <c r="AG179" s="3">
        <f t="shared" si="1132"/>
        <v>650</v>
      </c>
      <c r="AH179" s="3">
        <f t="shared" si="1132"/>
        <v>650</v>
      </c>
      <c r="AI179" s="3">
        <f t="shared" si="1132"/>
        <v>650</v>
      </c>
      <c r="AJ179" s="3">
        <f t="shared" si="1132"/>
        <v>650</v>
      </c>
      <c r="AK179" s="3">
        <f t="shared" si="1132"/>
        <v>650</v>
      </c>
      <c r="AL179" s="5">
        <v>14</v>
      </c>
      <c r="AM179" s="6">
        <f t="shared" si="1108"/>
        <v>0.12037037037037036</v>
      </c>
      <c r="AP179" s="102"/>
      <c r="AQ179" s="101"/>
      <c r="AR179" s="5">
        <v>14</v>
      </c>
      <c r="AS179" s="6">
        <f t="shared" si="1109"/>
        <v>0.12037037037037036</v>
      </c>
      <c r="AT179" s="3">
        <f t="shared" si="1133"/>
        <v>600</v>
      </c>
      <c r="AU179" s="3">
        <f t="shared" si="1133"/>
        <v>600</v>
      </c>
      <c r="AV179" s="3">
        <f t="shared" si="1133"/>
        <v>600</v>
      </c>
      <c r="AW179" s="3">
        <f t="shared" si="1133"/>
        <v>600</v>
      </c>
      <c r="AX179" s="3">
        <f t="shared" si="1133"/>
        <v>600</v>
      </c>
      <c r="AY179" s="3">
        <f t="shared" si="1133"/>
        <v>600</v>
      </c>
      <c r="AZ179" s="3">
        <f t="shared" si="1133"/>
        <v>600</v>
      </c>
      <c r="BA179" s="3">
        <f t="shared" si="1133"/>
        <v>600</v>
      </c>
      <c r="BB179" s="3">
        <f t="shared" si="1133"/>
        <v>600</v>
      </c>
      <c r="BC179" s="3">
        <f t="shared" si="916"/>
        <v>600</v>
      </c>
      <c r="BD179" s="3">
        <f t="shared" si="986"/>
        <v>600</v>
      </c>
      <c r="BE179" s="3">
        <f t="shared" si="1026"/>
        <v>600</v>
      </c>
      <c r="BF179" s="3">
        <f t="shared" si="1053"/>
        <v>600</v>
      </c>
      <c r="BG179" s="3">
        <f t="shared" si="1077"/>
        <v>-2209122261.3355436</v>
      </c>
      <c r="BH179" s="3">
        <f t="shared" si="1077"/>
        <v>-2212678734.5253763</v>
      </c>
      <c r="BI179" s="3">
        <f t="shared" si="1078"/>
        <v>-2216487767.0020041</v>
      </c>
      <c r="BJ179" s="3">
        <f t="shared" si="1079"/>
        <v>-2220562394.456975</v>
      </c>
      <c r="BK179" s="3">
        <f t="shared" si="1134"/>
        <v>-2224911002.2865396</v>
      </c>
      <c r="BL179" s="3">
        <f t="shared" si="1054"/>
        <v>650</v>
      </c>
      <c r="BM179" s="3">
        <f t="shared" si="1032"/>
        <v>650</v>
      </c>
      <c r="BN179" s="3">
        <f t="shared" si="994"/>
        <v>650</v>
      </c>
      <c r="BO179" s="3">
        <f t="shared" si="928"/>
        <v>650</v>
      </c>
      <c r="BP179" s="3">
        <f t="shared" si="1135"/>
        <v>650</v>
      </c>
      <c r="BQ179" s="3">
        <f t="shared" si="1135"/>
        <v>650</v>
      </c>
      <c r="BR179" s="3">
        <f t="shared" si="1135"/>
        <v>650</v>
      </c>
      <c r="BS179" s="3">
        <f t="shared" si="1135"/>
        <v>650</v>
      </c>
      <c r="BT179" s="3">
        <f t="shared" si="1135"/>
        <v>650</v>
      </c>
      <c r="BU179" s="3">
        <f t="shared" si="1135"/>
        <v>650</v>
      </c>
      <c r="BV179" s="3">
        <f t="shared" si="1135"/>
        <v>650</v>
      </c>
      <c r="BW179" s="3">
        <f t="shared" si="1135"/>
        <v>650</v>
      </c>
      <c r="BX179" s="3">
        <f t="shared" si="1135"/>
        <v>650</v>
      </c>
      <c r="BY179" s="5">
        <v>14</v>
      </c>
      <c r="BZ179" s="6">
        <f t="shared" si="1110"/>
        <v>0.12037037037037036</v>
      </c>
      <c r="CC179" s="94"/>
      <c r="CD179" s="95"/>
      <c r="CE179" s="5">
        <v>14</v>
      </c>
      <c r="CF179" s="6">
        <f t="shared" si="1111"/>
        <v>0.12037037037037036</v>
      </c>
      <c r="CG179" s="3">
        <f t="shared" si="1136"/>
        <v>600</v>
      </c>
      <c r="CH179" s="3">
        <f t="shared" si="1136"/>
        <v>600</v>
      </c>
      <c r="CI179" s="3">
        <f t="shared" si="1136"/>
        <v>600</v>
      </c>
      <c r="CJ179" s="3">
        <f t="shared" si="1136"/>
        <v>600</v>
      </c>
      <c r="CK179" s="3">
        <f t="shared" si="1136"/>
        <v>600</v>
      </c>
      <c r="CL179" s="3">
        <f t="shared" si="1136"/>
        <v>600</v>
      </c>
      <c r="CM179" s="3">
        <f t="shared" si="1136"/>
        <v>600</v>
      </c>
      <c r="CN179" s="3">
        <f t="shared" si="1136"/>
        <v>600</v>
      </c>
      <c r="CO179" s="3">
        <f t="shared" si="1136"/>
        <v>600</v>
      </c>
      <c r="CP179" s="3">
        <f t="shared" si="929"/>
        <v>600</v>
      </c>
      <c r="CQ179" s="3">
        <f t="shared" si="995"/>
        <v>600</v>
      </c>
      <c r="CR179" s="3">
        <f t="shared" si="1033"/>
        <v>600</v>
      </c>
      <c r="CS179" s="3">
        <f t="shared" si="1055"/>
        <v>600</v>
      </c>
      <c r="CT179" s="3">
        <f t="shared" si="1137"/>
        <v>0.11665710012935292</v>
      </c>
      <c r="CU179" s="3">
        <f t="shared" si="1090"/>
        <v>0.11667843062533659</v>
      </c>
      <c r="CV179" s="3">
        <f t="shared" si="1091"/>
        <v>0.11667843062533659</v>
      </c>
      <c r="CW179" s="3">
        <f t="shared" si="1092"/>
        <v>0.11667843062533659</v>
      </c>
      <c r="CX179" s="3">
        <f t="shared" si="1138"/>
        <v>0.11665710012935292</v>
      </c>
      <c r="CY179" s="3">
        <f t="shared" si="1061"/>
        <v>650</v>
      </c>
      <c r="CZ179" s="3">
        <f t="shared" si="1041"/>
        <v>650</v>
      </c>
      <c r="DA179" s="3">
        <f t="shared" si="1005"/>
        <v>650</v>
      </c>
      <c r="DB179" s="3">
        <f t="shared" si="941"/>
        <v>650</v>
      </c>
      <c r="DC179" s="3">
        <f t="shared" si="1139"/>
        <v>650</v>
      </c>
      <c r="DD179" s="3">
        <f t="shared" si="1139"/>
        <v>650</v>
      </c>
      <c r="DE179" s="3">
        <f t="shared" si="1139"/>
        <v>650</v>
      </c>
      <c r="DF179" s="3">
        <f t="shared" si="1139"/>
        <v>650</v>
      </c>
      <c r="DG179" s="3">
        <f t="shared" si="1139"/>
        <v>650</v>
      </c>
      <c r="DH179" s="3">
        <f t="shared" si="1139"/>
        <v>650</v>
      </c>
      <c r="DI179" s="3">
        <f t="shared" si="1139"/>
        <v>650</v>
      </c>
      <c r="DJ179" s="3">
        <f t="shared" si="1139"/>
        <v>650</v>
      </c>
      <c r="DK179" s="3">
        <f t="shared" si="1139"/>
        <v>650</v>
      </c>
      <c r="DL179" s="5">
        <v>14</v>
      </c>
      <c r="DM179" s="6">
        <f t="shared" si="1112"/>
        <v>0.12037037037037036</v>
      </c>
      <c r="DQ179" s="94"/>
      <c r="DR179" s="95"/>
      <c r="DS179" s="5">
        <v>14</v>
      </c>
      <c r="DT179" s="6">
        <f t="shared" si="1113"/>
        <v>0.12037037037037036</v>
      </c>
      <c r="DU179" s="3">
        <f t="shared" si="1140"/>
        <v>600</v>
      </c>
      <c r="DV179" s="3">
        <f t="shared" si="1140"/>
        <v>600</v>
      </c>
      <c r="DW179" s="3">
        <f t="shared" si="1140"/>
        <v>600</v>
      </c>
      <c r="DX179" s="3">
        <f t="shared" si="1140"/>
        <v>600</v>
      </c>
      <c r="DY179" s="3">
        <f t="shared" si="1140"/>
        <v>600</v>
      </c>
      <c r="DZ179" s="3">
        <f t="shared" si="1140"/>
        <v>600</v>
      </c>
      <c r="EA179" s="3">
        <f t="shared" si="1140"/>
        <v>600</v>
      </c>
      <c r="EB179" s="3">
        <f t="shared" si="1140"/>
        <v>600</v>
      </c>
      <c r="EC179" s="3">
        <f t="shared" si="1140"/>
        <v>600</v>
      </c>
      <c r="ED179" s="3">
        <f t="shared" si="942"/>
        <v>600</v>
      </c>
      <c r="EE179" s="3">
        <f t="shared" si="1006"/>
        <v>600</v>
      </c>
      <c r="EF179" s="3">
        <f t="shared" si="1042"/>
        <v>600</v>
      </c>
      <c r="EG179" s="3">
        <f t="shared" si="1062"/>
        <v>600</v>
      </c>
      <c r="EH179" s="3">
        <f t="shared" si="1141"/>
        <v>543.81800982023753</v>
      </c>
      <c r="EI179" s="3">
        <f t="shared" si="1142"/>
        <v>544.6758731424153</v>
      </c>
      <c r="EJ179" s="3">
        <f t="shared" si="1143"/>
        <v>545.61249765971968</v>
      </c>
      <c r="EK179" s="3">
        <f t="shared" si="1144"/>
        <v>546.6173716204022</v>
      </c>
      <c r="EL179" s="3">
        <f t="shared" si="1145"/>
        <v>547.73918681611337</v>
      </c>
      <c r="EM179" s="3">
        <f t="shared" si="1068"/>
        <v>650</v>
      </c>
      <c r="EN179" s="3">
        <f t="shared" si="1050"/>
        <v>650</v>
      </c>
      <c r="EO179" s="3">
        <f t="shared" si="1016"/>
        <v>650</v>
      </c>
      <c r="EP179" s="3">
        <f t="shared" si="954"/>
        <v>650</v>
      </c>
      <c r="EQ179" s="3">
        <f t="shared" si="1146"/>
        <v>650</v>
      </c>
      <c r="ER179" s="3">
        <f t="shared" si="1146"/>
        <v>650</v>
      </c>
      <c r="ES179" s="3">
        <f t="shared" si="1146"/>
        <v>650</v>
      </c>
      <c r="ET179" s="3">
        <f t="shared" si="1146"/>
        <v>650</v>
      </c>
      <c r="EU179" s="3">
        <f t="shared" si="1146"/>
        <v>650</v>
      </c>
      <c r="EV179" s="3">
        <f t="shared" si="1146"/>
        <v>650</v>
      </c>
      <c r="EW179" s="3">
        <f t="shared" si="1146"/>
        <v>650</v>
      </c>
      <c r="EX179" s="3">
        <f t="shared" si="1146"/>
        <v>650</v>
      </c>
      <c r="EY179" s="3">
        <f t="shared" si="1146"/>
        <v>650</v>
      </c>
      <c r="EZ179" s="5">
        <v>14</v>
      </c>
      <c r="FA179" s="6">
        <f t="shared" si="1114"/>
        <v>0.12037037037037036</v>
      </c>
    </row>
    <row r="180" spans="3:157" ht="15" customHeight="1" x14ac:dyDescent="0.3">
      <c r="C180" s="94"/>
      <c r="D180" s="95"/>
      <c r="E180" s="5">
        <v>13</v>
      </c>
      <c r="F180" s="6">
        <f t="shared" si="1107"/>
        <v>0.1111111111111111</v>
      </c>
      <c r="G180" s="3">
        <f t="shared" si="1129"/>
        <v>600</v>
      </c>
      <c r="H180" s="3">
        <f t="shared" si="1129"/>
        <v>600</v>
      </c>
      <c r="I180" s="3">
        <f t="shared" si="1129"/>
        <v>600</v>
      </c>
      <c r="J180" s="3">
        <f t="shared" si="1129"/>
        <v>600</v>
      </c>
      <c r="K180" s="3">
        <f t="shared" si="1129"/>
        <v>600</v>
      </c>
      <c r="L180" s="3">
        <f t="shared" si="1129"/>
        <v>600</v>
      </c>
      <c r="M180" s="3">
        <f t="shared" si="1129"/>
        <v>600</v>
      </c>
      <c r="N180" s="3">
        <f t="shared" si="1129"/>
        <v>600</v>
      </c>
      <c r="O180" s="3">
        <f t="shared" si="1129"/>
        <v>600</v>
      </c>
      <c r="P180" s="3">
        <f t="shared" si="914"/>
        <v>600</v>
      </c>
      <c r="Q180" s="3">
        <f t="shared" si="975"/>
        <v>600</v>
      </c>
      <c r="R180" s="3">
        <f t="shared" si="1017"/>
        <v>600</v>
      </c>
      <c r="S180" s="3">
        <f t="shared" ref="S180" si="1147">($F$5*$B$5*S52+$F$4*S117)/($F$4+$F$5*$B$5)</f>
        <v>613.62290226034668</v>
      </c>
      <c r="T180" s="3">
        <f t="shared" si="1130"/>
        <v>615.6133200078566</v>
      </c>
      <c r="U180" s="3">
        <f t="shared" si="1071"/>
        <v>616.58981879085286</v>
      </c>
      <c r="V180" s="3">
        <f t="shared" si="1072"/>
        <v>617.62655870852177</v>
      </c>
      <c r="W180" s="3">
        <f t="shared" si="1131"/>
        <v>618.72381469776894</v>
      </c>
      <c r="X180" s="3">
        <f t="shared" si="1073"/>
        <v>619.88421787667517</v>
      </c>
      <c r="Y180" s="3">
        <f>($F$5*$B$5*X52+$F$4*X117)/($F$4+$F$5*$B$5)</f>
        <v>619.5415957441279</v>
      </c>
      <c r="Z180" s="3">
        <f t="shared" si="1025"/>
        <v>650</v>
      </c>
      <c r="AA180" s="3">
        <f t="shared" si="985"/>
        <v>650</v>
      </c>
      <c r="AB180" s="3">
        <f t="shared" si="915"/>
        <v>650</v>
      </c>
      <c r="AC180" s="3">
        <f t="shared" si="1132"/>
        <v>650</v>
      </c>
      <c r="AD180" s="3">
        <f t="shared" si="1132"/>
        <v>650</v>
      </c>
      <c r="AE180" s="3">
        <f t="shared" si="1132"/>
        <v>650</v>
      </c>
      <c r="AF180" s="3">
        <f t="shared" si="1132"/>
        <v>650</v>
      </c>
      <c r="AG180" s="3">
        <f t="shared" si="1132"/>
        <v>650</v>
      </c>
      <c r="AH180" s="3">
        <f t="shared" si="1132"/>
        <v>650</v>
      </c>
      <c r="AI180" s="3">
        <f t="shared" si="1132"/>
        <v>650</v>
      </c>
      <c r="AJ180" s="3">
        <f t="shared" si="1132"/>
        <v>650</v>
      </c>
      <c r="AK180" s="3">
        <f t="shared" si="1132"/>
        <v>650</v>
      </c>
      <c r="AL180" s="5">
        <v>13</v>
      </c>
      <c r="AM180" s="6">
        <f t="shared" si="1108"/>
        <v>0.1111111111111111</v>
      </c>
      <c r="AP180" s="102"/>
      <c r="AQ180" s="101"/>
      <c r="AR180" s="5">
        <v>13</v>
      </c>
      <c r="AS180" s="6">
        <f t="shared" si="1109"/>
        <v>0.1111111111111111</v>
      </c>
      <c r="AT180" s="3">
        <f t="shared" si="1133"/>
        <v>600</v>
      </c>
      <c r="AU180" s="3">
        <f t="shared" si="1133"/>
        <v>600</v>
      </c>
      <c r="AV180" s="3">
        <f t="shared" si="1133"/>
        <v>600</v>
      </c>
      <c r="AW180" s="3">
        <f t="shared" si="1133"/>
        <v>600</v>
      </c>
      <c r="AX180" s="3">
        <f t="shared" si="1133"/>
        <v>600</v>
      </c>
      <c r="AY180" s="3">
        <f t="shared" si="1133"/>
        <v>600</v>
      </c>
      <c r="AZ180" s="3">
        <f t="shared" si="1133"/>
        <v>600</v>
      </c>
      <c r="BA180" s="3">
        <f t="shared" si="1133"/>
        <v>600</v>
      </c>
      <c r="BB180" s="3">
        <f t="shared" si="1133"/>
        <v>600</v>
      </c>
      <c r="BC180" s="3">
        <f t="shared" si="916"/>
        <v>600</v>
      </c>
      <c r="BD180" s="3">
        <f t="shared" si="986"/>
        <v>600</v>
      </c>
      <c r="BE180" s="3">
        <f t="shared" si="1026"/>
        <v>600</v>
      </c>
      <c r="BF180" s="7"/>
      <c r="BG180" s="3">
        <f t="shared" si="1077"/>
        <v>-2208994566.6349154</v>
      </c>
      <c r="BH180" s="3">
        <f t="shared" si="1077"/>
        <v>-2212502602.7834153</v>
      </c>
      <c r="BI180" s="3">
        <f t="shared" si="1078"/>
        <v>-2216221061.0177245</v>
      </c>
      <c r="BJ180" s="3">
        <f t="shared" si="1079"/>
        <v>-2220149505.4536943</v>
      </c>
      <c r="BK180" s="3">
        <f t="shared" si="1134"/>
        <v>-2224280532.5835371</v>
      </c>
      <c r="BL180" s="7"/>
      <c r="BM180" s="3">
        <f t="shared" si="1032"/>
        <v>650</v>
      </c>
      <c r="BN180" s="3">
        <f t="shared" si="994"/>
        <v>650</v>
      </c>
      <c r="BO180" s="3">
        <f t="shared" si="928"/>
        <v>650</v>
      </c>
      <c r="BP180" s="3">
        <f t="shared" si="1135"/>
        <v>650</v>
      </c>
      <c r="BQ180" s="3">
        <f t="shared" si="1135"/>
        <v>650</v>
      </c>
      <c r="BR180" s="3">
        <f t="shared" si="1135"/>
        <v>650</v>
      </c>
      <c r="BS180" s="3">
        <f t="shared" si="1135"/>
        <v>650</v>
      </c>
      <c r="BT180" s="3">
        <f t="shared" si="1135"/>
        <v>650</v>
      </c>
      <c r="BU180" s="3">
        <f t="shared" si="1135"/>
        <v>650</v>
      </c>
      <c r="BV180" s="3">
        <f t="shared" si="1135"/>
        <v>650</v>
      </c>
      <c r="BW180" s="3">
        <f t="shared" si="1135"/>
        <v>650</v>
      </c>
      <c r="BX180" s="3">
        <f t="shared" si="1135"/>
        <v>650</v>
      </c>
      <c r="BY180" s="5">
        <v>13</v>
      </c>
      <c r="BZ180" s="6">
        <f t="shared" si="1110"/>
        <v>0.1111111111111111</v>
      </c>
      <c r="CC180" s="94"/>
      <c r="CD180" s="95"/>
      <c r="CE180" s="5">
        <v>13</v>
      </c>
      <c r="CF180" s="6">
        <f t="shared" si="1111"/>
        <v>0.1111111111111111</v>
      </c>
      <c r="CG180" s="3">
        <f t="shared" si="1136"/>
        <v>600</v>
      </c>
      <c r="CH180" s="3">
        <f t="shared" si="1136"/>
        <v>600</v>
      </c>
      <c r="CI180" s="3">
        <f t="shared" si="1136"/>
        <v>600</v>
      </c>
      <c r="CJ180" s="3">
        <f t="shared" si="1136"/>
        <v>600</v>
      </c>
      <c r="CK180" s="3">
        <f t="shared" si="1136"/>
        <v>600</v>
      </c>
      <c r="CL180" s="3">
        <f t="shared" si="1136"/>
        <v>600</v>
      </c>
      <c r="CM180" s="3">
        <f t="shared" si="1136"/>
        <v>600</v>
      </c>
      <c r="CN180" s="3">
        <f t="shared" si="1136"/>
        <v>600</v>
      </c>
      <c r="CO180" s="3">
        <f t="shared" si="1136"/>
        <v>600</v>
      </c>
      <c r="CP180" s="3">
        <f t="shared" si="929"/>
        <v>600</v>
      </c>
      <c r="CQ180" s="3">
        <f t="shared" si="995"/>
        <v>600</v>
      </c>
      <c r="CR180" s="3">
        <f t="shared" si="1033"/>
        <v>600</v>
      </c>
      <c r="CS180" s="3">
        <v>0</v>
      </c>
      <c r="CT180" s="3">
        <f t="shared" ref="CT180:CT181" si="1148">$O$2/($O$3-$O$4*CT179)</f>
        <v>0.1166781402357549</v>
      </c>
      <c r="CU180" s="3">
        <f t="shared" ref="CU180:CU181" si="1149">$O$2/($O$3-$O$4*CU179)</f>
        <v>0.11667843062533659</v>
      </c>
      <c r="CV180" s="3">
        <f t="shared" ref="CV180:CV181" si="1150">$O$2/($O$3-$O$4*CV179)</f>
        <v>0.11667843062533659</v>
      </c>
      <c r="CW180" s="3">
        <f t="shared" ref="CW180:CW181" si="1151">$O$2/($O$3-$O$4*CW179)</f>
        <v>0.11667843062533659</v>
      </c>
      <c r="CX180" s="3">
        <f t="shared" ref="CX180:CX181" si="1152">$O$2/($O$3-$O$4*CX179)</f>
        <v>0.1166781402357549</v>
      </c>
      <c r="CY180" s="3">
        <v>0</v>
      </c>
      <c r="CZ180" s="3">
        <f t="shared" si="1041"/>
        <v>650</v>
      </c>
      <c r="DA180" s="3">
        <f t="shared" si="1005"/>
        <v>650</v>
      </c>
      <c r="DB180" s="3">
        <f t="shared" si="941"/>
        <v>650</v>
      </c>
      <c r="DC180" s="3">
        <f t="shared" si="1139"/>
        <v>650</v>
      </c>
      <c r="DD180" s="3">
        <f t="shared" si="1139"/>
        <v>650</v>
      </c>
      <c r="DE180" s="3">
        <f t="shared" si="1139"/>
        <v>650</v>
      </c>
      <c r="DF180" s="3">
        <f t="shared" si="1139"/>
        <v>650</v>
      </c>
      <c r="DG180" s="3">
        <f t="shared" si="1139"/>
        <v>650</v>
      </c>
      <c r="DH180" s="3">
        <f t="shared" si="1139"/>
        <v>650</v>
      </c>
      <c r="DI180" s="3">
        <f t="shared" si="1139"/>
        <v>650</v>
      </c>
      <c r="DJ180" s="3">
        <f t="shared" si="1139"/>
        <v>650</v>
      </c>
      <c r="DK180" s="3">
        <f t="shared" si="1139"/>
        <v>650</v>
      </c>
      <c r="DL180" s="5">
        <v>13</v>
      </c>
      <c r="DM180" s="6">
        <f t="shared" si="1112"/>
        <v>0.1111111111111111</v>
      </c>
      <c r="DQ180" s="94"/>
      <c r="DR180" s="95"/>
      <c r="DS180" s="5">
        <v>13</v>
      </c>
      <c r="DT180" s="6">
        <f t="shared" si="1113"/>
        <v>0.1111111111111111</v>
      </c>
      <c r="DU180" s="3">
        <f t="shared" si="1140"/>
        <v>600</v>
      </c>
      <c r="DV180" s="3">
        <f t="shared" si="1140"/>
        <v>600</v>
      </c>
      <c r="DW180" s="3">
        <f t="shared" si="1140"/>
        <v>600</v>
      </c>
      <c r="DX180" s="3">
        <f t="shared" si="1140"/>
        <v>600</v>
      </c>
      <c r="DY180" s="3">
        <f t="shared" si="1140"/>
        <v>600</v>
      </c>
      <c r="DZ180" s="3">
        <f t="shared" si="1140"/>
        <v>600</v>
      </c>
      <c r="EA180" s="3">
        <f t="shared" si="1140"/>
        <v>600</v>
      </c>
      <c r="EB180" s="3">
        <f t="shared" si="1140"/>
        <v>600</v>
      </c>
      <c r="EC180" s="3">
        <f t="shared" si="1140"/>
        <v>600</v>
      </c>
      <c r="ED180" s="3">
        <f t="shared" si="942"/>
        <v>600</v>
      </c>
      <c r="EE180" s="3">
        <f t="shared" si="1006"/>
        <v>600</v>
      </c>
      <c r="EF180" s="3">
        <f t="shared" si="1042"/>
        <v>600</v>
      </c>
      <c r="EG180" s="3">
        <f t="shared" ref="EG180" si="1153">S180</f>
        <v>613.62290226034668</v>
      </c>
      <c r="EH180" s="3">
        <f t="shared" si="1141"/>
        <v>543.82491055203445</v>
      </c>
      <c r="EI180" s="3">
        <f t="shared" si="1142"/>
        <v>544.68922599581265</v>
      </c>
      <c r="EJ180" s="3">
        <f t="shared" si="1143"/>
        <v>545.60713669945062</v>
      </c>
      <c r="EK180" s="3">
        <f t="shared" si="1144"/>
        <v>546.57867485582778</v>
      </c>
      <c r="EL180" s="3">
        <f t="shared" si="1145"/>
        <v>547.60654887028238</v>
      </c>
      <c r="EM180" s="3">
        <f t="shared" ref="EM180" si="1154">Y180</f>
        <v>619.5415957441279</v>
      </c>
      <c r="EN180" s="3">
        <f t="shared" si="1050"/>
        <v>650</v>
      </c>
      <c r="EO180" s="3">
        <f t="shared" si="1016"/>
        <v>650</v>
      </c>
      <c r="EP180" s="3">
        <f t="shared" si="954"/>
        <v>650</v>
      </c>
      <c r="EQ180" s="3">
        <f t="shared" si="1146"/>
        <v>650</v>
      </c>
      <c r="ER180" s="3">
        <f t="shared" si="1146"/>
        <v>650</v>
      </c>
      <c r="ES180" s="3">
        <f t="shared" si="1146"/>
        <v>650</v>
      </c>
      <c r="ET180" s="3">
        <f t="shared" si="1146"/>
        <v>650</v>
      </c>
      <c r="EU180" s="3">
        <f t="shared" si="1146"/>
        <v>650</v>
      </c>
      <c r="EV180" s="3">
        <f t="shared" si="1146"/>
        <v>650</v>
      </c>
      <c r="EW180" s="3">
        <f t="shared" si="1146"/>
        <v>650</v>
      </c>
      <c r="EX180" s="3">
        <f t="shared" si="1146"/>
        <v>650</v>
      </c>
      <c r="EY180" s="3">
        <f t="shared" si="1146"/>
        <v>650</v>
      </c>
      <c r="EZ180" s="5">
        <v>13</v>
      </c>
      <c r="FA180" s="6">
        <f t="shared" si="1114"/>
        <v>0.1111111111111111</v>
      </c>
    </row>
    <row r="181" spans="3:157" ht="15" customHeight="1" x14ac:dyDescent="0.3">
      <c r="C181" s="94"/>
      <c r="D181" s="95"/>
      <c r="E181" s="5">
        <v>12</v>
      </c>
      <c r="F181" s="6">
        <f t="shared" si="1107"/>
        <v>0.10185185185185185</v>
      </c>
      <c r="G181" s="3">
        <f t="shared" si="1129"/>
        <v>600</v>
      </c>
      <c r="H181" s="3">
        <f t="shared" si="1129"/>
        <v>600</v>
      </c>
      <c r="I181" s="3">
        <f t="shared" si="1129"/>
        <v>600</v>
      </c>
      <c r="J181" s="3">
        <f t="shared" si="1129"/>
        <v>600</v>
      </c>
      <c r="K181" s="3">
        <f t="shared" si="1129"/>
        <v>600</v>
      </c>
      <c r="L181" s="3">
        <f t="shared" si="1129"/>
        <v>600</v>
      </c>
      <c r="M181" s="3">
        <f t="shared" si="1129"/>
        <v>600</v>
      </c>
      <c r="N181" s="3">
        <f t="shared" si="1129"/>
        <v>600</v>
      </c>
      <c r="O181" s="3">
        <f t="shared" si="1129"/>
        <v>600</v>
      </c>
      <c r="P181" s="3">
        <f t="shared" si="914"/>
        <v>600</v>
      </c>
      <c r="Q181" s="3">
        <f t="shared" si="975"/>
        <v>600</v>
      </c>
      <c r="R181" s="3">
        <f t="shared" si="1017"/>
        <v>600</v>
      </c>
      <c r="S181" s="3">
        <f t="shared" si="1130"/>
        <v>614.24129497264721</v>
      </c>
      <c r="T181" s="3">
        <f t="shared" si="1130"/>
        <v>615.26871538035823</v>
      </c>
      <c r="U181" s="3">
        <f t="shared" si="1071"/>
        <v>616.22865862773358</v>
      </c>
      <c r="V181" s="3">
        <f t="shared" si="1072"/>
        <v>617.24709205535203</v>
      </c>
      <c r="W181" s="3">
        <f t="shared" si="1131"/>
        <v>618.32456483413557</v>
      </c>
      <c r="X181" s="3">
        <f t="shared" ref="X181" si="1155">CX181*X182+EL181</f>
        <v>619.46195628719863</v>
      </c>
      <c r="Y181" s="3">
        <f t="shared" ref="Y181" si="1156">CY181*Y182+EM181</f>
        <v>620.4772389651614</v>
      </c>
      <c r="Z181" s="3">
        <f t="shared" si="1025"/>
        <v>650</v>
      </c>
      <c r="AA181" s="3">
        <f t="shared" si="985"/>
        <v>650</v>
      </c>
      <c r="AB181" s="3">
        <f t="shared" si="915"/>
        <v>650</v>
      </c>
      <c r="AC181" s="3">
        <f t="shared" si="1132"/>
        <v>650</v>
      </c>
      <c r="AD181" s="3">
        <f t="shared" si="1132"/>
        <v>650</v>
      </c>
      <c r="AE181" s="3">
        <f t="shared" si="1132"/>
        <v>650</v>
      </c>
      <c r="AF181" s="3">
        <f t="shared" si="1132"/>
        <v>650</v>
      </c>
      <c r="AG181" s="3">
        <f t="shared" si="1132"/>
        <v>650</v>
      </c>
      <c r="AH181" s="3">
        <f t="shared" si="1132"/>
        <v>650</v>
      </c>
      <c r="AI181" s="3">
        <f t="shared" si="1132"/>
        <v>650</v>
      </c>
      <c r="AJ181" s="3">
        <f t="shared" si="1132"/>
        <v>650</v>
      </c>
      <c r="AK181" s="3">
        <f t="shared" si="1132"/>
        <v>650</v>
      </c>
      <c r="AL181" s="5">
        <v>12</v>
      </c>
      <c r="AM181" s="6">
        <f t="shared" si="1108"/>
        <v>0.10185185185185185</v>
      </c>
      <c r="AP181" s="102"/>
      <c r="AQ181" s="101"/>
      <c r="AR181" s="5">
        <v>12</v>
      </c>
      <c r="AS181" s="6">
        <f t="shared" si="1109"/>
        <v>0.10185185185185185</v>
      </c>
      <c r="AT181" s="3">
        <f t="shared" si="1133"/>
        <v>600</v>
      </c>
      <c r="AU181" s="3">
        <f t="shared" si="1133"/>
        <v>600</v>
      </c>
      <c r="AV181" s="3">
        <f t="shared" si="1133"/>
        <v>600</v>
      </c>
      <c r="AW181" s="3">
        <f t="shared" si="1133"/>
        <v>600</v>
      </c>
      <c r="AX181" s="3">
        <f t="shared" si="1133"/>
        <v>600</v>
      </c>
      <c r="AY181" s="3">
        <f t="shared" si="1133"/>
        <v>600</v>
      </c>
      <c r="AZ181" s="3">
        <f t="shared" si="1133"/>
        <v>600</v>
      </c>
      <c r="BA181" s="3">
        <f t="shared" si="1133"/>
        <v>600</v>
      </c>
      <c r="BB181" s="3">
        <f t="shared" si="1133"/>
        <v>600</v>
      </c>
      <c r="BC181" s="3">
        <f t="shared" si="916"/>
        <v>600</v>
      </c>
      <c r="BD181" s="3">
        <f t="shared" si="986"/>
        <v>600</v>
      </c>
      <c r="BE181" s="3">
        <f t="shared" si="1026"/>
        <v>600</v>
      </c>
      <c r="BF181" s="3">
        <f t="shared" si="1077"/>
        <v>-2204512536.9802756</v>
      </c>
      <c r="BG181" s="3">
        <f t="shared" si="1077"/>
        <v>-2207750299.1303391</v>
      </c>
      <c r="BH181" s="3">
        <f t="shared" si="1077"/>
        <v>-2211196004.0104823</v>
      </c>
      <c r="BI181" s="3">
        <f t="shared" si="1078"/>
        <v>-2214852591.151907</v>
      </c>
      <c r="BJ181" s="3">
        <f t="shared" si="1079"/>
        <v>-2218723028.7779899</v>
      </c>
      <c r="BK181" s="3">
        <f t="shared" si="1134"/>
        <v>-2222811176.3172421</v>
      </c>
      <c r="BL181" s="3">
        <f t="shared" ref="BL181:BL192" si="1157">-($F$3*$F$2)/$B$8*Y117</f>
        <v>-2227122387.2897201</v>
      </c>
      <c r="BM181" s="3">
        <f t="shared" si="1032"/>
        <v>650</v>
      </c>
      <c r="BN181" s="3">
        <f t="shared" si="994"/>
        <v>650</v>
      </c>
      <c r="BO181" s="3">
        <f t="shared" si="928"/>
        <v>650</v>
      </c>
      <c r="BP181" s="3">
        <f t="shared" si="1135"/>
        <v>650</v>
      </c>
      <c r="BQ181" s="3">
        <f t="shared" si="1135"/>
        <v>650</v>
      </c>
      <c r="BR181" s="3">
        <f t="shared" si="1135"/>
        <v>650</v>
      </c>
      <c r="BS181" s="3">
        <f t="shared" si="1135"/>
        <v>650</v>
      </c>
      <c r="BT181" s="3">
        <f t="shared" si="1135"/>
        <v>650</v>
      </c>
      <c r="BU181" s="3">
        <f t="shared" si="1135"/>
        <v>650</v>
      </c>
      <c r="BV181" s="3">
        <f t="shared" si="1135"/>
        <v>650</v>
      </c>
      <c r="BW181" s="3">
        <f t="shared" si="1135"/>
        <v>650</v>
      </c>
      <c r="BX181" s="3">
        <f t="shared" si="1135"/>
        <v>650</v>
      </c>
      <c r="BY181" s="5">
        <v>12</v>
      </c>
      <c r="BZ181" s="6">
        <f t="shared" si="1110"/>
        <v>0.10185185185185185</v>
      </c>
      <c r="CC181" s="94"/>
      <c r="CD181" s="95"/>
      <c r="CE181" s="5">
        <v>12</v>
      </c>
      <c r="CF181" s="6">
        <f t="shared" si="1111"/>
        <v>0.10185185185185185</v>
      </c>
      <c r="CG181" s="3">
        <f t="shared" si="1136"/>
        <v>600</v>
      </c>
      <c r="CH181" s="3">
        <f t="shared" si="1136"/>
        <v>600</v>
      </c>
      <c r="CI181" s="3">
        <f t="shared" si="1136"/>
        <v>600</v>
      </c>
      <c r="CJ181" s="3">
        <f t="shared" si="1136"/>
        <v>600</v>
      </c>
      <c r="CK181" s="3">
        <f t="shared" si="1136"/>
        <v>600</v>
      </c>
      <c r="CL181" s="3">
        <f t="shared" si="1136"/>
        <v>600</v>
      </c>
      <c r="CM181" s="3">
        <f t="shared" si="1136"/>
        <v>600</v>
      </c>
      <c r="CN181" s="3">
        <f t="shared" si="1136"/>
        <v>600</v>
      </c>
      <c r="CO181" s="3">
        <f t="shared" si="1136"/>
        <v>600</v>
      </c>
      <c r="CP181" s="3">
        <f t="shared" si="929"/>
        <v>600</v>
      </c>
      <c r="CQ181" s="3">
        <f t="shared" si="995"/>
        <v>600</v>
      </c>
      <c r="CR181" s="3">
        <f t="shared" si="1033"/>
        <v>600</v>
      </c>
      <c r="CS181" s="3">
        <f t="shared" ref="CS181" si="1158">$O$2/($O$3-$O$4*CS180)</f>
        <v>0.11511132164850782</v>
      </c>
      <c r="CT181" s="3">
        <f t="shared" si="1148"/>
        <v>0.11667842667201472</v>
      </c>
      <c r="CU181" s="3">
        <f t="shared" si="1149"/>
        <v>0.11667843062533659</v>
      </c>
      <c r="CV181" s="3">
        <f t="shared" si="1150"/>
        <v>0.11667843062533659</v>
      </c>
      <c r="CW181" s="3">
        <f t="shared" si="1151"/>
        <v>0.11667843062533659</v>
      </c>
      <c r="CX181" s="3">
        <f t="shared" si="1152"/>
        <v>0.11667842667201472</v>
      </c>
      <c r="CY181" s="3">
        <f t="shared" ref="CY181" si="1159">$O$2/($O$3-$O$4*CY180)</f>
        <v>0.11511132164850782</v>
      </c>
      <c r="CZ181" s="3">
        <f t="shared" si="1041"/>
        <v>650</v>
      </c>
      <c r="DA181" s="3">
        <f t="shared" si="1005"/>
        <v>650</v>
      </c>
      <c r="DB181" s="3">
        <f t="shared" si="941"/>
        <v>650</v>
      </c>
      <c r="DC181" s="3">
        <f t="shared" si="1139"/>
        <v>650</v>
      </c>
      <c r="DD181" s="3">
        <f t="shared" si="1139"/>
        <v>650</v>
      </c>
      <c r="DE181" s="3">
        <f t="shared" si="1139"/>
        <v>650</v>
      </c>
      <c r="DF181" s="3">
        <f t="shared" si="1139"/>
        <v>650</v>
      </c>
      <c r="DG181" s="3">
        <f t="shared" si="1139"/>
        <v>650</v>
      </c>
      <c r="DH181" s="3">
        <f t="shared" si="1139"/>
        <v>650</v>
      </c>
      <c r="DI181" s="3">
        <f t="shared" si="1139"/>
        <v>650</v>
      </c>
      <c r="DJ181" s="3">
        <f t="shared" si="1139"/>
        <v>650</v>
      </c>
      <c r="DK181" s="3">
        <f t="shared" si="1139"/>
        <v>650</v>
      </c>
      <c r="DL181" s="5">
        <v>12</v>
      </c>
      <c r="DM181" s="6">
        <f t="shared" si="1112"/>
        <v>0.10185185185185185</v>
      </c>
      <c r="DQ181" s="94"/>
      <c r="DR181" s="95"/>
      <c r="DS181" s="5">
        <v>12</v>
      </c>
      <c r="DT181" s="6">
        <f t="shared" si="1113"/>
        <v>0.10185185185185185</v>
      </c>
      <c r="DU181" s="3">
        <f t="shared" si="1140"/>
        <v>600</v>
      </c>
      <c r="DV181" s="3">
        <f t="shared" si="1140"/>
        <v>600</v>
      </c>
      <c r="DW181" s="3">
        <f t="shared" si="1140"/>
        <v>600</v>
      </c>
      <c r="DX181" s="3">
        <f t="shared" si="1140"/>
        <v>600</v>
      </c>
      <c r="DY181" s="3">
        <f t="shared" si="1140"/>
        <v>600</v>
      </c>
      <c r="DZ181" s="3">
        <f t="shared" si="1140"/>
        <v>600</v>
      </c>
      <c r="EA181" s="3">
        <f t="shared" si="1140"/>
        <v>600</v>
      </c>
      <c r="EB181" s="3">
        <f t="shared" si="1140"/>
        <v>600</v>
      </c>
      <c r="EC181" s="3">
        <f t="shared" si="1140"/>
        <v>600</v>
      </c>
      <c r="ED181" s="3">
        <f t="shared" si="942"/>
        <v>600</v>
      </c>
      <c r="EE181" s="3">
        <f t="shared" si="1006"/>
        <v>600</v>
      </c>
      <c r="EF181" s="3">
        <f t="shared" si="1042"/>
        <v>600</v>
      </c>
      <c r="EG181" s="3">
        <f t="shared" ref="EG181:EG182" si="1160">(EG180*$O$4-BF181)/($O$3-$O$4*CS180)</f>
        <v>543.59587792606601</v>
      </c>
      <c r="EH181" s="3">
        <f t="shared" ref="EH181:EH182" si="1161">(EH180*$O$4-BG181)/($O$3-$O$4*CT180)</f>
        <v>543.556468719951</v>
      </c>
      <c r="EI181" s="3">
        <f t="shared" si="1125"/>
        <v>544.40664718753658</v>
      </c>
      <c r="EJ181" s="3">
        <f t="shared" si="1126"/>
        <v>545.30891972358813</v>
      </c>
      <c r="EK181" s="3">
        <f t="shared" si="1127"/>
        <v>546.26395397976364</v>
      </c>
      <c r="EL181" s="3">
        <f t="shared" ref="EL181:EL182" si="1162">(EL180*$O$4-BK181)/($O$3-$O$4*CX180)</f>
        <v>547.27288670837186</v>
      </c>
      <c r="EM181" s="3">
        <f t="shared" ref="EM181:EM182" si="1163">(EM180*$O$4-BL181)/($O$3-$O$4*CY180)</f>
        <v>549.12795322393777</v>
      </c>
      <c r="EN181" s="3">
        <f t="shared" si="1050"/>
        <v>650</v>
      </c>
      <c r="EO181" s="3">
        <f t="shared" si="1016"/>
        <v>650</v>
      </c>
      <c r="EP181" s="3">
        <f t="shared" si="954"/>
        <v>650</v>
      </c>
      <c r="EQ181" s="3">
        <f t="shared" si="1146"/>
        <v>650</v>
      </c>
      <c r="ER181" s="3">
        <f t="shared" si="1146"/>
        <v>650</v>
      </c>
      <c r="ES181" s="3">
        <f t="shared" si="1146"/>
        <v>650</v>
      </c>
      <c r="ET181" s="3">
        <f t="shared" si="1146"/>
        <v>650</v>
      </c>
      <c r="EU181" s="3">
        <f t="shared" si="1146"/>
        <v>650</v>
      </c>
      <c r="EV181" s="3">
        <f t="shared" si="1146"/>
        <v>650</v>
      </c>
      <c r="EW181" s="3">
        <f t="shared" si="1146"/>
        <v>650</v>
      </c>
      <c r="EX181" s="3">
        <f t="shared" si="1146"/>
        <v>650</v>
      </c>
      <c r="EY181" s="3">
        <f t="shared" si="1146"/>
        <v>650</v>
      </c>
      <c r="EZ181" s="5">
        <v>12</v>
      </c>
      <c r="FA181" s="6">
        <f t="shared" si="1114"/>
        <v>0.10185185185185185</v>
      </c>
    </row>
    <row r="182" spans="3:157" ht="15" customHeight="1" x14ac:dyDescent="0.3">
      <c r="C182" s="94"/>
      <c r="D182" s="95"/>
      <c r="E182" s="5">
        <v>11</v>
      </c>
      <c r="F182" s="6">
        <f t="shared" si="1107"/>
        <v>9.2592592592592587E-2</v>
      </c>
      <c r="G182" s="3">
        <f t="shared" si="1129"/>
        <v>600</v>
      </c>
      <c r="H182" s="3">
        <f t="shared" si="1129"/>
        <v>600</v>
      </c>
      <c r="I182" s="3">
        <f t="shared" si="1129"/>
        <v>600</v>
      </c>
      <c r="J182" s="3">
        <f t="shared" si="1129"/>
        <v>600</v>
      </c>
      <c r="K182" s="3">
        <f t="shared" si="1129"/>
        <v>600</v>
      </c>
      <c r="L182" s="3">
        <f t="shared" si="1129"/>
        <v>600</v>
      </c>
      <c r="M182" s="3">
        <f t="shared" si="1129"/>
        <v>600</v>
      </c>
      <c r="N182" s="3">
        <f t="shared" si="1129"/>
        <v>600</v>
      </c>
      <c r="O182" s="3">
        <f t="shared" si="1129"/>
        <v>600</v>
      </c>
      <c r="P182" s="3">
        <f t="shared" si="914"/>
        <v>600</v>
      </c>
      <c r="Q182" s="3">
        <f t="shared" si="975"/>
        <v>600</v>
      </c>
      <c r="R182" s="3">
        <f t="shared" ref="R182:Z182" si="1164">($F$5*$B$5*R54+$F$4*R119)/($F$4+$F$5*$B$5)</f>
        <v>611.49039783046601</v>
      </c>
      <c r="S182" s="3">
        <f t="shared" si="1130"/>
        <v>613.71389047462139</v>
      </c>
      <c r="T182" s="3">
        <f t="shared" si="1130"/>
        <v>614.61444678193811</v>
      </c>
      <c r="U182" s="3">
        <f t="shared" si="1071"/>
        <v>615.55517206794639</v>
      </c>
      <c r="V182" s="3">
        <f t="shared" si="1072"/>
        <v>616.550736466133</v>
      </c>
      <c r="W182" s="3">
        <f t="shared" si="1073"/>
        <v>617.6001037052348</v>
      </c>
      <c r="X182" s="3">
        <f t="shared" ref="X182" si="1165">CX182*X183+EL182</f>
        <v>618.70108843472485</v>
      </c>
      <c r="Y182" s="3">
        <f t="shared" ref="Y182" si="1166">CY182*Y183+EM182</f>
        <v>619.82856872314051</v>
      </c>
      <c r="Z182" s="3">
        <f t="shared" si="1164"/>
        <v>621.85595858762485</v>
      </c>
      <c r="AA182" s="3">
        <f t="shared" si="985"/>
        <v>650</v>
      </c>
      <c r="AB182" s="3">
        <f t="shared" si="915"/>
        <v>650</v>
      </c>
      <c r="AC182" s="3">
        <f t="shared" si="1132"/>
        <v>650</v>
      </c>
      <c r="AD182" s="3">
        <f t="shared" si="1132"/>
        <v>650</v>
      </c>
      <c r="AE182" s="3">
        <f t="shared" si="1132"/>
        <v>650</v>
      </c>
      <c r="AF182" s="3">
        <f t="shared" si="1132"/>
        <v>650</v>
      </c>
      <c r="AG182" s="3">
        <f t="shared" si="1132"/>
        <v>650</v>
      </c>
      <c r="AH182" s="3">
        <f t="shared" si="1132"/>
        <v>650</v>
      </c>
      <c r="AI182" s="3">
        <f t="shared" si="1132"/>
        <v>650</v>
      </c>
      <c r="AJ182" s="3">
        <f t="shared" si="1132"/>
        <v>650</v>
      </c>
      <c r="AK182" s="3">
        <f t="shared" si="1132"/>
        <v>650</v>
      </c>
      <c r="AL182" s="5">
        <v>11</v>
      </c>
      <c r="AM182" s="6">
        <f t="shared" si="1108"/>
        <v>9.2592592592592587E-2</v>
      </c>
      <c r="AP182" s="102"/>
      <c r="AQ182" s="101"/>
      <c r="AR182" s="5">
        <v>11</v>
      </c>
      <c r="AS182" s="6">
        <f t="shared" si="1109"/>
        <v>9.2592592592592587E-2</v>
      </c>
      <c r="AT182" s="3">
        <f t="shared" si="1133"/>
        <v>600</v>
      </c>
      <c r="AU182" s="3">
        <f t="shared" si="1133"/>
        <v>600</v>
      </c>
      <c r="AV182" s="3">
        <f t="shared" si="1133"/>
        <v>600</v>
      </c>
      <c r="AW182" s="3">
        <f t="shared" si="1133"/>
        <v>600</v>
      </c>
      <c r="AX182" s="3">
        <f t="shared" si="1133"/>
        <v>600</v>
      </c>
      <c r="AY182" s="3">
        <f t="shared" si="1133"/>
        <v>600</v>
      </c>
      <c r="AZ182" s="3">
        <f t="shared" si="1133"/>
        <v>600</v>
      </c>
      <c r="BA182" s="3">
        <f t="shared" si="1133"/>
        <v>600</v>
      </c>
      <c r="BB182" s="3">
        <f t="shared" si="1133"/>
        <v>600</v>
      </c>
      <c r="BC182" s="3">
        <f t="shared" si="916"/>
        <v>600</v>
      </c>
      <c r="BD182" s="3">
        <f t="shared" si="986"/>
        <v>600</v>
      </c>
      <c r="BE182" s="7"/>
      <c r="BF182" s="3">
        <f t="shared" si="1077"/>
        <v>-2202161864.5333052</v>
      </c>
      <c r="BG182" s="3">
        <f t="shared" si="1077"/>
        <v>-2205345432.1893177</v>
      </c>
      <c r="BH182" s="3">
        <f t="shared" si="1077"/>
        <v>-2208719616.7249651</v>
      </c>
      <c r="BI182" s="3">
        <f t="shared" si="1078"/>
        <v>-2212285527.88585</v>
      </c>
      <c r="BJ182" s="3">
        <f t="shared" si="1079"/>
        <v>-2216038928.193717</v>
      </c>
      <c r="BK182" s="3">
        <f t="shared" si="1134"/>
        <v>-2219969773.200057</v>
      </c>
      <c r="BL182" s="3">
        <f t="shared" si="1157"/>
        <v>-2224060305.3960052</v>
      </c>
      <c r="BM182" s="7"/>
      <c r="BN182" s="3">
        <f t="shared" si="994"/>
        <v>650</v>
      </c>
      <c r="BO182" s="3">
        <f t="shared" si="928"/>
        <v>650</v>
      </c>
      <c r="BP182" s="3">
        <f t="shared" si="1135"/>
        <v>650</v>
      </c>
      <c r="BQ182" s="3">
        <f t="shared" si="1135"/>
        <v>650</v>
      </c>
      <c r="BR182" s="3">
        <f t="shared" si="1135"/>
        <v>650</v>
      </c>
      <c r="BS182" s="3">
        <f t="shared" si="1135"/>
        <v>650</v>
      </c>
      <c r="BT182" s="3">
        <f t="shared" si="1135"/>
        <v>650</v>
      </c>
      <c r="BU182" s="3">
        <f t="shared" si="1135"/>
        <v>650</v>
      </c>
      <c r="BV182" s="3">
        <f t="shared" si="1135"/>
        <v>650</v>
      </c>
      <c r="BW182" s="3">
        <f t="shared" si="1135"/>
        <v>650</v>
      </c>
      <c r="BX182" s="3">
        <f t="shared" si="1135"/>
        <v>650</v>
      </c>
      <c r="BY182" s="5">
        <v>11</v>
      </c>
      <c r="BZ182" s="6">
        <f t="shared" si="1110"/>
        <v>9.2592592592592587E-2</v>
      </c>
      <c r="CC182" s="94"/>
      <c r="CD182" s="95"/>
      <c r="CE182" s="5">
        <v>11</v>
      </c>
      <c r="CF182" s="6">
        <f t="shared" si="1111"/>
        <v>9.2592592592592587E-2</v>
      </c>
      <c r="CG182" s="3">
        <f t="shared" si="1136"/>
        <v>600</v>
      </c>
      <c r="CH182" s="3">
        <f t="shared" si="1136"/>
        <v>600</v>
      </c>
      <c r="CI182" s="3">
        <f t="shared" si="1136"/>
        <v>600</v>
      </c>
      <c r="CJ182" s="3">
        <f t="shared" si="1136"/>
        <v>600</v>
      </c>
      <c r="CK182" s="3">
        <f t="shared" si="1136"/>
        <v>600</v>
      </c>
      <c r="CL182" s="3">
        <f t="shared" si="1136"/>
        <v>600</v>
      </c>
      <c r="CM182" s="3">
        <f t="shared" si="1136"/>
        <v>600</v>
      </c>
      <c r="CN182" s="3">
        <f t="shared" si="1136"/>
        <v>600</v>
      </c>
      <c r="CO182" s="3">
        <f t="shared" si="1136"/>
        <v>600</v>
      </c>
      <c r="CP182" s="3">
        <f t="shared" si="929"/>
        <v>600</v>
      </c>
      <c r="CQ182" s="3">
        <f t="shared" si="995"/>
        <v>600</v>
      </c>
      <c r="CR182" s="3">
        <v>0</v>
      </c>
      <c r="CS182" s="3">
        <f t="shared" ref="CS182:CS183" si="1167">$O$2/($O$3-$O$4*CS181)</f>
        <v>0.11665710012935292</v>
      </c>
      <c r="CT182" s="3">
        <f t="shared" ref="CT182:CT183" si="1168">$O$2/($O$3-$O$4*CT181)</f>
        <v>0.11667843057151663</v>
      </c>
      <c r="CU182" s="3">
        <f t="shared" si="1090"/>
        <v>0.11667843062533659</v>
      </c>
      <c r="CV182" s="3">
        <f t="shared" si="1091"/>
        <v>0.11667843062533659</v>
      </c>
      <c r="CW182" s="3">
        <f t="shared" si="1092"/>
        <v>0.11667843062533659</v>
      </c>
      <c r="CX182" s="3">
        <f t="shared" ref="CX182:CX183" si="1169">$O$2/($O$3-$O$4*CX181)</f>
        <v>0.11667843057151663</v>
      </c>
      <c r="CY182" s="3">
        <f t="shared" ref="CY182:CY183" si="1170">$O$2/($O$3-$O$4*CY181)</f>
        <v>0.11665710012935292</v>
      </c>
      <c r="CZ182" s="3">
        <v>0</v>
      </c>
      <c r="DA182" s="3">
        <f t="shared" si="1005"/>
        <v>650</v>
      </c>
      <c r="DB182" s="3">
        <f t="shared" si="941"/>
        <v>650</v>
      </c>
      <c r="DC182" s="3">
        <f t="shared" si="1139"/>
        <v>650</v>
      </c>
      <c r="DD182" s="3">
        <f t="shared" si="1139"/>
        <v>650</v>
      </c>
      <c r="DE182" s="3">
        <f t="shared" si="1139"/>
        <v>650</v>
      </c>
      <c r="DF182" s="3">
        <f t="shared" si="1139"/>
        <v>650</v>
      </c>
      <c r="DG182" s="3">
        <f t="shared" si="1139"/>
        <v>650</v>
      </c>
      <c r="DH182" s="3">
        <f t="shared" si="1139"/>
        <v>650</v>
      </c>
      <c r="DI182" s="3">
        <f t="shared" si="1139"/>
        <v>650</v>
      </c>
      <c r="DJ182" s="3">
        <f t="shared" si="1139"/>
        <v>650</v>
      </c>
      <c r="DK182" s="3">
        <f t="shared" si="1139"/>
        <v>650</v>
      </c>
      <c r="DL182" s="5">
        <v>11</v>
      </c>
      <c r="DM182" s="6">
        <f t="shared" si="1112"/>
        <v>9.2592592592592587E-2</v>
      </c>
      <c r="DQ182" s="94"/>
      <c r="DR182" s="95"/>
      <c r="DS182" s="5">
        <v>11</v>
      </c>
      <c r="DT182" s="6">
        <f t="shared" si="1113"/>
        <v>9.2592592592592587E-2</v>
      </c>
      <c r="DU182" s="3">
        <f t="shared" si="1140"/>
        <v>600</v>
      </c>
      <c r="DV182" s="3">
        <f t="shared" si="1140"/>
        <v>600</v>
      </c>
      <c r="DW182" s="3">
        <f t="shared" si="1140"/>
        <v>600</v>
      </c>
      <c r="DX182" s="3">
        <f t="shared" si="1140"/>
        <v>600</v>
      </c>
      <c r="DY182" s="3">
        <f t="shared" si="1140"/>
        <v>600</v>
      </c>
      <c r="DZ182" s="3">
        <f t="shared" si="1140"/>
        <v>600</v>
      </c>
      <c r="EA182" s="3">
        <f t="shared" si="1140"/>
        <v>600</v>
      </c>
      <c r="EB182" s="3">
        <f t="shared" si="1140"/>
        <v>600</v>
      </c>
      <c r="EC182" s="3">
        <f t="shared" si="1140"/>
        <v>600</v>
      </c>
      <c r="ED182" s="3">
        <f t="shared" si="942"/>
        <v>600</v>
      </c>
      <c r="EE182" s="3">
        <f t="shared" si="1006"/>
        <v>600</v>
      </c>
      <c r="EF182" s="3">
        <f t="shared" ref="EF182" si="1171">R182</f>
        <v>611.49039783046601</v>
      </c>
      <c r="EG182" s="3">
        <f t="shared" si="1160"/>
        <v>542.21534371323344</v>
      </c>
      <c r="EH182" s="3">
        <f t="shared" si="1161"/>
        <v>543.00219610203885</v>
      </c>
      <c r="EI182" s="3">
        <f t="shared" si="1125"/>
        <v>543.83515389929835</v>
      </c>
      <c r="EJ182" s="3">
        <f t="shared" si="1126"/>
        <v>544.71588313403663</v>
      </c>
      <c r="EK182" s="3">
        <f t="shared" si="1127"/>
        <v>545.64354046283074</v>
      </c>
      <c r="EL182" s="3">
        <f t="shared" si="1162"/>
        <v>546.61607397281125</v>
      </c>
      <c r="EM182" s="3">
        <f t="shared" si="1163"/>
        <v>547.62192812008391</v>
      </c>
      <c r="EN182" s="3">
        <f t="shared" ref="EN182" si="1172">Z182</f>
        <v>621.85595858762485</v>
      </c>
      <c r="EO182" s="3">
        <f t="shared" si="1016"/>
        <v>650</v>
      </c>
      <c r="EP182" s="3">
        <f t="shared" si="954"/>
        <v>650</v>
      </c>
      <c r="EQ182" s="3">
        <f t="shared" si="1146"/>
        <v>650</v>
      </c>
      <c r="ER182" s="3">
        <f t="shared" si="1146"/>
        <v>650</v>
      </c>
      <c r="ES182" s="3">
        <f t="shared" si="1146"/>
        <v>650</v>
      </c>
      <c r="ET182" s="3">
        <f t="shared" si="1146"/>
        <v>650</v>
      </c>
      <c r="EU182" s="3">
        <f t="shared" si="1146"/>
        <v>650</v>
      </c>
      <c r="EV182" s="3">
        <f t="shared" si="1146"/>
        <v>650</v>
      </c>
      <c r="EW182" s="3">
        <f t="shared" si="1146"/>
        <v>650</v>
      </c>
      <c r="EX182" s="3">
        <f t="shared" si="1146"/>
        <v>650</v>
      </c>
      <c r="EY182" s="3">
        <f t="shared" si="1146"/>
        <v>650</v>
      </c>
      <c r="EZ182" s="5">
        <v>11</v>
      </c>
      <c r="FA182" s="6">
        <f t="shared" si="1114"/>
        <v>9.2592592592592587E-2</v>
      </c>
    </row>
    <row r="183" spans="3:157" ht="15" customHeight="1" x14ac:dyDescent="0.3">
      <c r="C183" s="94"/>
      <c r="D183" s="95"/>
      <c r="E183" s="5">
        <v>10</v>
      </c>
      <c r="F183" s="6">
        <f t="shared" si="1107"/>
        <v>8.3333333333333329E-2</v>
      </c>
      <c r="G183" s="3">
        <f t="shared" si="1129"/>
        <v>600</v>
      </c>
      <c r="H183" s="3">
        <f t="shared" si="1129"/>
        <v>600</v>
      </c>
      <c r="I183" s="3">
        <f t="shared" si="1129"/>
        <v>600</v>
      </c>
      <c r="J183" s="3">
        <f t="shared" si="1129"/>
        <v>600</v>
      </c>
      <c r="K183" s="3">
        <f t="shared" si="1129"/>
        <v>600</v>
      </c>
      <c r="L183" s="3">
        <f t="shared" si="1129"/>
        <v>600</v>
      </c>
      <c r="M183" s="3">
        <f t="shared" si="1129"/>
        <v>600</v>
      </c>
      <c r="N183" s="3">
        <f t="shared" si="1129"/>
        <v>600</v>
      </c>
      <c r="O183" s="3">
        <f t="shared" si="1129"/>
        <v>600</v>
      </c>
      <c r="P183" s="3">
        <f t="shared" si="914"/>
        <v>600</v>
      </c>
      <c r="Q183" s="3">
        <f t="shared" si="975"/>
        <v>600</v>
      </c>
      <c r="R183" s="3">
        <f t="shared" ref="R183:R185" si="1173">CR183*R184+EF183</f>
        <v>611.93915732564221</v>
      </c>
      <c r="S183" s="3">
        <f t="shared" si="1130"/>
        <v>612.89494323198733</v>
      </c>
      <c r="T183" s="3">
        <f t="shared" si="1130"/>
        <v>613.75740425309766</v>
      </c>
      <c r="U183" s="3">
        <f t="shared" si="1071"/>
        <v>614.6810321690607</v>
      </c>
      <c r="V183" s="3">
        <f t="shared" si="1072"/>
        <v>615.66523432907297</v>
      </c>
      <c r="W183" s="3">
        <f t="shared" si="1073"/>
        <v>616.70835694955588</v>
      </c>
      <c r="X183" s="3">
        <f t="shared" ref="X183" si="1174">CX183*X184+EL183</f>
        <v>617.80925667945041</v>
      </c>
      <c r="Y183" s="3">
        <f t="shared" ref="Y183" si="1175">CY183*Y184+EM183</f>
        <v>618.96481674061556</v>
      </c>
      <c r="Z183" s="3">
        <f t="shared" ref="Z183" si="1176">CZ183*Z184+EN183</f>
        <v>620.27948617720506</v>
      </c>
      <c r="AA183" s="3">
        <f t="shared" si="985"/>
        <v>650</v>
      </c>
      <c r="AB183" s="3">
        <f t="shared" si="915"/>
        <v>650</v>
      </c>
      <c r="AC183" s="3">
        <f t="shared" si="1132"/>
        <v>650</v>
      </c>
      <c r="AD183" s="3">
        <f t="shared" si="1132"/>
        <v>650</v>
      </c>
      <c r="AE183" s="3">
        <f t="shared" si="1132"/>
        <v>650</v>
      </c>
      <c r="AF183" s="3">
        <f t="shared" si="1132"/>
        <v>650</v>
      </c>
      <c r="AG183" s="3">
        <f t="shared" si="1132"/>
        <v>650</v>
      </c>
      <c r="AH183" s="3">
        <f t="shared" si="1132"/>
        <v>650</v>
      </c>
      <c r="AI183" s="3">
        <f t="shared" si="1132"/>
        <v>650</v>
      </c>
      <c r="AJ183" s="3">
        <f t="shared" si="1132"/>
        <v>650</v>
      </c>
      <c r="AK183" s="3">
        <f t="shared" si="1132"/>
        <v>650</v>
      </c>
      <c r="AL183" s="5">
        <v>10</v>
      </c>
      <c r="AM183" s="6">
        <f t="shared" si="1108"/>
        <v>8.3333333333333329E-2</v>
      </c>
      <c r="AP183" s="102"/>
      <c r="AQ183" s="101"/>
      <c r="AR183" s="5">
        <v>10</v>
      </c>
      <c r="AS183" s="6">
        <f t="shared" si="1109"/>
        <v>8.3333333333333329E-2</v>
      </c>
      <c r="AT183" s="3">
        <f t="shared" si="1133"/>
        <v>600</v>
      </c>
      <c r="AU183" s="3">
        <f t="shared" si="1133"/>
        <v>600</v>
      </c>
      <c r="AV183" s="3">
        <f t="shared" si="1133"/>
        <v>600</v>
      </c>
      <c r="AW183" s="3">
        <f t="shared" si="1133"/>
        <v>600</v>
      </c>
      <c r="AX183" s="3">
        <f t="shared" si="1133"/>
        <v>600</v>
      </c>
      <c r="AY183" s="3">
        <f t="shared" si="1133"/>
        <v>600</v>
      </c>
      <c r="AZ183" s="3">
        <f t="shared" si="1133"/>
        <v>600</v>
      </c>
      <c r="BA183" s="3">
        <f t="shared" si="1133"/>
        <v>600</v>
      </c>
      <c r="BB183" s="3">
        <f t="shared" si="1133"/>
        <v>600</v>
      </c>
      <c r="BC183" s="3">
        <f t="shared" si="916"/>
        <v>600</v>
      </c>
      <c r="BD183" s="3">
        <f t="shared" si="986"/>
        <v>600</v>
      </c>
      <c r="BE183" s="3">
        <f t="shared" si="1077"/>
        <v>-2196417550.1644492</v>
      </c>
      <c r="BF183" s="3">
        <f t="shared" si="1077"/>
        <v>-2199235463.8329811</v>
      </c>
      <c r="BG183" s="3">
        <f t="shared" si="1077"/>
        <v>-2202304156.1992164</v>
      </c>
      <c r="BH183" s="3">
        <f t="shared" si="1077"/>
        <v>-2205604558.2701769</v>
      </c>
      <c r="BI183" s="3">
        <f t="shared" si="1078"/>
        <v>-2209127152.1412435</v>
      </c>
      <c r="BJ183" s="3">
        <f t="shared" si="1079"/>
        <v>-2212865568.8857431</v>
      </c>
      <c r="BK183" s="3">
        <f t="shared" si="1134"/>
        <v>-2216816216.6231875</v>
      </c>
      <c r="BL183" s="3">
        <f t="shared" si="1157"/>
        <v>-2220978709.2878623</v>
      </c>
      <c r="BM183" s="3">
        <f t="shared" ref="BM183:BM185" si="1177">-($F$3*$F$2)/$B$8*Z119</f>
        <v>-2225365218.798624</v>
      </c>
      <c r="BN183" s="3">
        <f t="shared" si="994"/>
        <v>650</v>
      </c>
      <c r="BO183" s="3">
        <f t="shared" si="928"/>
        <v>650</v>
      </c>
      <c r="BP183" s="3">
        <f t="shared" si="1135"/>
        <v>650</v>
      </c>
      <c r="BQ183" s="3">
        <f t="shared" si="1135"/>
        <v>650</v>
      </c>
      <c r="BR183" s="3">
        <f t="shared" si="1135"/>
        <v>650</v>
      </c>
      <c r="BS183" s="3">
        <f t="shared" si="1135"/>
        <v>650</v>
      </c>
      <c r="BT183" s="3">
        <f t="shared" si="1135"/>
        <v>650</v>
      </c>
      <c r="BU183" s="3">
        <f t="shared" si="1135"/>
        <v>650</v>
      </c>
      <c r="BV183" s="3">
        <f t="shared" si="1135"/>
        <v>650</v>
      </c>
      <c r="BW183" s="3">
        <f t="shared" si="1135"/>
        <v>650</v>
      </c>
      <c r="BX183" s="3">
        <f t="shared" si="1135"/>
        <v>650</v>
      </c>
      <c r="BY183" s="5">
        <v>10</v>
      </c>
      <c r="BZ183" s="6">
        <f t="shared" si="1110"/>
        <v>8.3333333333333329E-2</v>
      </c>
      <c r="CC183" s="94"/>
      <c r="CD183" s="95"/>
      <c r="CE183" s="5">
        <v>10</v>
      </c>
      <c r="CF183" s="6">
        <f t="shared" si="1111"/>
        <v>8.3333333333333329E-2</v>
      </c>
      <c r="CG183" s="3">
        <f t="shared" si="1136"/>
        <v>600</v>
      </c>
      <c r="CH183" s="3">
        <f t="shared" si="1136"/>
        <v>600</v>
      </c>
      <c r="CI183" s="3">
        <f t="shared" si="1136"/>
        <v>600</v>
      </c>
      <c r="CJ183" s="3">
        <f t="shared" si="1136"/>
        <v>600</v>
      </c>
      <c r="CK183" s="3">
        <f t="shared" si="1136"/>
        <v>600</v>
      </c>
      <c r="CL183" s="3">
        <f t="shared" si="1136"/>
        <v>600</v>
      </c>
      <c r="CM183" s="3">
        <f t="shared" si="1136"/>
        <v>600</v>
      </c>
      <c r="CN183" s="3">
        <f t="shared" si="1136"/>
        <v>600</v>
      </c>
      <c r="CO183" s="3">
        <f t="shared" si="1136"/>
        <v>600</v>
      </c>
      <c r="CP183" s="3">
        <f t="shared" si="929"/>
        <v>600</v>
      </c>
      <c r="CQ183" s="3">
        <f t="shared" si="995"/>
        <v>600</v>
      </c>
      <c r="CR183" s="3">
        <f t="shared" ref="CR183" si="1178">$O$2/($O$3-$O$4*CR182)</f>
        <v>0.11511132164850782</v>
      </c>
      <c r="CS183" s="3">
        <f t="shared" si="1167"/>
        <v>0.1166781402357549</v>
      </c>
      <c r="CT183" s="3">
        <f t="shared" si="1168"/>
        <v>0.1166784306246039</v>
      </c>
      <c r="CU183" s="3">
        <f t="shared" si="1090"/>
        <v>0.11667843062533659</v>
      </c>
      <c r="CV183" s="3">
        <f t="shared" si="1091"/>
        <v>0.11667843062533659</v>
      </c>
      <c r="CW183" s="3">
        <f t="shared" si="1092"/>
        <v>0.11667843062533659</v>
      </c>
      <c r="CX183" s="3">
        <f t="shared" si="1169"/>
        <v>0.1166784306246039</v>
      </c>
      <c r="CY183" s="3">
        <f t="shared" si="1170"/>
        <v>0.1166781402357549</v>
      </c>
      <c r="CZ183" s="3">
        <f t="shared" ref="CZ183" si="1179">$O$2/($O$3-$O$4*CZ182)</f>
        <v>0.11511132164850782</v>
      </c>
      <c r="DA183" s="3">
        <f t="shared" si="1005"/>
        <v>650</v>
      </c>
      <c r="DB183" s="3">
        <f t="shared" si="941"/>
        <v>650</v>
      </c>
      <c r="DC183" s="3">
        <f t="shared" si="1139"/>
        <v>650</v>
      </c>
      <c r="DD183" s="3">
        <f t="shared" si="1139"/>
        <v>650</v>
      </c>
      <c r="DE183" s="3">
        <f t="shared" si="1139"/>
        <v>650</v>
      </c>
      <c r="DF183" s="3">
        <f t="shared" si="1139"/>
        <v>650</v>
      </c>
      <c r="DG183" s="3">
        <f t="shared" si="1139"/>
        <v>650</v>
      </c>
      <c r="DH183" s="3">
        <f t="shared" si="1139"/>
        <v>650</v>
      </c>
      <c r="DI183" s="3">
        <f t="shared" si="1139"/>
        <v>650</v>
      </c>
      <c r="DJ183" s="3">
        <f t="shared" si="1139"/>
        <v>650</v>
      </c>
      <c r="DK183" s="3">
        <f t="shared" si="1139"/>
        <v>650</v>
      </c>
      <c r="DL183" s="5">
        <v>10</v>
      </c>
      <c r="DM183" s="6">
        <f t="shared" si="1112"/>
        <v>8.3333333333333329E-2</v>
      </c>
      <c r="DQ183" s="94"/>
      <c r="DR183" s="95"/>
      <c r="DS183" s="5">
        <v>10</v>
      </c>
      <c r="DT183" s="6">
        <f t="shared" si="1113"/>
        <v>8.3333333333333329E-2</v>
      </c>
      <c r="DU183" s="3">
        <f t="shared" si="1140"/>
        <v>600</v>
      </c>
      <c r="DV183" s="3">
        <f t="shared" si="1140"/>
        <v>600</v>
      </c>
      <c r="DW183" s="3">
        <f t="shared" si="1140"/>
        <v>600</v>
      </c>
      <c r="DX183" s="3">
        <f t="shared" si="1140"/>
        <v>600</v>
      </c>
      <c r="DY183" s="3">
        <f t="shared" si="1140"/>
        <v>600</v>
      </c>
      <c r="DZ183" s="3">
        <f t="shared" si="1140"/>
        <v>600</v>
      </c>
      <c r="EA183" s="3">
        <f t="shared" si="1140"/>
        <v>600</v>
      </c>
      <c r="EB183" s="3">
        <f t="shared" si="1140"/>
        <v>600</v>
      </c>
      <c r="EC183" s="3">
        <f t="shared" si="1140"/>
        <v>600</v>
      </c>
      <c r="ED183" s="3">
        <f t="shared" si="942"/>
        <v>600</v>
      </c>
      <c r="EE183" s="3">
        <f t="shared" si="1006"/>
        <v>600</v>
      </c>
      <c r="EF183" s="3">
        <f t="shared" ref="EF183:EF184" si="1180">(EF182*$O$4-BE183)/($O$3-$O$4*CR182)</f>
        <v>541.61368637064959</v>
      </c>
      <c r="EG183" s="3">
        <f t="shared" ref="EG183:EG184" si="1181">(EG182*$O$4-BF183)/($O$3-$O$4*CS182)</f>
        <v>541.51567663795026</v>
      </c>
      <c r="EH183" s="3">
        <f t="shared" ref="EH183:EH184" si="1182">(EH182*$O$4-BG183)/($O$3-$O$4*CT182)</f>
        <v>542.27615990039487</v>
      </c>
      <c r="EI183" s="3">
        <f t="shared" ref="EI183:EI184" si="1183">(EI182*$O$4-BH183)/($O$3-$O$4*CU182)</f>
        <v>543.09106321880631</v>
      </c>
      <c r="EJ183" s="3">
        <f t="shared" ref="EJ183:EJ184" si="1184">(EJ182*$O$4-BI183)/($O$3-$O$4*CV182)</f>
        <v>543.95985891016812</v>
      </c>
      <c r="EK183" s="3">
        <f t="shared" ref="EK183:EK184" si="1185">(EK182*$O$4-BJ183)/($O$3-$O$4*CW182)</f>
        <v>544.88106357243964</v>
      </c>
      <c r="EL183" s="3">
        <f t="shared" ref="EL183:EL184" si="1186">(EL182*$O$4-BK183)/($O$3-$O$4*CX182)</f>
        <v>545.85365668736267</v>
      </c>
      <c r="EM183" s="3">
        <f t="shared" ref="EM183:EM184" si="1187">(EM182*$O$4-BL183)/($O$3-$O$4*CY182)</f>
        <v>546.87484496058744</v>
      </c>
      <c r="EN183" s="3">
        <f t="shared" ref="EN183:EN184" si="1188">(EN182*$O$4-BM183)/($O$3-$O$4*CZ182)</f>
        <v>549.0173758236408</v>
      </c>
      <c r="EO183" s="3">
        <f t="shared" si="1016"/>
        <v>650</v>
      </c>
      <c r="EP183" s="3">
        <f t="shared" si="954"/>
        <v>650</v>
      </c>
      <c r="EQ183" s="3">
        <f t="shared" si="1146"/>
        <v>650</v>
      </c>
      <c r="ER183" s="3">
        <f t="shared" si="1146"/>
        <v>650</v>
      </c>
      <c r="ES183" s="3">
        <f t="shared" si="1146"/>
        <v>650</v>
      </c>
      <c r="ET183" s="3">
        <f t="shared" si="1146"/>
        <v>650</v>
      </c>
      <c r="EU183" s="3">
        <f t="shared" si="1146"/>
        <v>650</v>
      </c>
      <c r="EV183" s="3">
        <f t="shared" si="1146"/>
        <v>650</v>
      </c>
      <c r="EW183" s="3">
        <f t="shared" si="1146"/>
        <v>650</v>
      </c>
      <c r="EX183" s="3">
        <f t="shared" si="1146"/>
        <v>650</v>
      </c>
      <c r="EY183" s="3">
        <f t="shared" si="1146"/>
        <v>650</v>
      </c>
      <c r="EZ183" s="5">
        <v>10</v>
      </c>
      <c r="FA183" s="6">
        <f t="shared" si="1114"/>
        <v>8.3333333333333329E-2</v>
      </c>
    </row>
    <row r="184" spans="3:157" ht="15" customHeight="1" x14ac:dyDescent="0.3">
      <c r="C184" s="94"/>
      <c r="D184" s="95"/>
      <c r="E184" s="5">
        <v>9</v>
      </c>
      <c r="F184" s="6">
        <f t="shared" si="1107"/>
        <v>7.407407407407407E-2</v>
      </c>
      <c r="G184" s="3">
        <f t="shared" si="1129"/>
        <v>600</v>
      </c>
      <c r="H184" s="3">
        <f t="shared" si="1129"/>
        <v>600</v>
      </c>
      <c r="I184" s="3">
        <f t="shared" si="1129"/>
        <v>600</v>
      </c>
      <c r="J184" s="3">
        <f t="shared" si="1129"/>
        <v>600</v>
      </c>
      <c r="K184" s="3">
        <f t="shared" si="1129"/>
        <v>600</v>
      </c>
      <c r="L184" s="3">
        <f t="shared" si="1129"/>
        <v>600</v>
      </c>
      <c r="M184" s="3">
        <f t="shared" si="1129"/>
        <v>600</v>
      </c>
      <c r="N184" s="3">
        <f t="shared" si="1129"/>
        <v>600</v>
      </c>
      <c r="O184" s="3">
        <f t="shared" si="1129"/>
        <v>600</v>
      </c>
      <c r="P184" s="3">
        <f t="shared" si="914"/>
        <v>600</v>
      </c>
      <c r="Q184" s="3">
        <f t="shared" ref="Q184" si="1189">($F$5*$B$5*Q56+$F$4*Q121)/($F$4+$F$5*$B$5)</f>
        <v>608.08211193278419</v>
      </c>
      <c r="R184" s="3">
        <f t="shared" si="1173"/>
        <v>610.93444109460665</v>
      </c>
      <c r="S184" s="3">
        <f t="shared" si="1130"/>
        <v>611.76212142061183</v>
      </c>
      <c r="T184" s="3">
        <f t="shared" si="1130"/>
        <v>612.63460581402114</v>
      </c>
      <c r="U184" s="3">
        <f t="shared" si="1071"/>
        <v>613.56643697184506</v>
      </c>
      <c r="V184" s="3">
        <f t="shared" si="1072"/>
        <v>614.5555355398667</v>
      </c>
      <c r="W184" s="3">
        <f t="shared" si="1073"/>
        <v>615.60044124829903</v>
      </c>
      <c r="X184" s="3">
        <f t="shared" ref="X184" si="1190">CX184*X185+EL184</f>
        <v>616.70010135459017</v>
      </c>
      <c r="Y184" s="3">
        <f t="shared" ref="Y184" si="1191">CY184*Y185+EM184</f>
        <v>617.85328112332104</v>
      </c>
      <c r="Z184" s="3">
        <f t="shared" ref="Z184" si="1192">CZ184*Z185+EN184</f>
        <v>619.07125496450294</v>
      </c>
      <c r="AA184" s="3">
        <f t="shared" ref="AA184" si="1193">($F$5*$B$5*AA56+$F$4*AA121)/($F$4+$F$5*$B$5)</f>
        <v>620.81176449919099</v>
      </c>
      <c r="AB184" s="3">
        <f t="shared" si="915"/>
        <v>650</v>
      </c>
      <c r="AC184" s="3">
        <f t="shared" si="1132"/>
        <v>650</v>
      </c>
      <c r="AD184" s="3">
        <f t="shared" si="1132"/>
        <v>650</v>
      </c>
      <c r="AE184" s="3">
        <f t="shared" si="1132"/>
        <v>650</v>
      </c>
      <c r="AF184" s="3">
        <f t="shared" si="1132"/>
        <v>650</v>
      </c>
      <c r="AG184" s="3">
        <f t="shared" si="1132"/>
        <v>650</v>
      </c>
      <c r="AH184" s="3">
        <f t="shared" si="1132"/>
        <v>650</v>
      </c>
      <c r="AI184" s="3">
        <f t="shared" si="1132"/>
        <v>650</v>
      </c>
      <c r="AJ184" s="3">
        <f t="shared" si="1132"/>
        <v>650</v>
      </c>
      <c r="AK184" s="3">
        <f t="shared" si="1132"/>
        <v>650</v>
      </c>
      <c r="AL184" s="5">
        <v>9</v>
      </c>
      <c r="AM184" s="6">
        <f t="shared" si="1108"/>
        <v>7.407407407407407E-2</v>
      </c>
      <c r="AP184" s="102"/>
      <c r="AQ184" s="101"/>
      <c r="AR184" s="5">
        <v>9</v>
      </c>
      <c r="AS184" s="6">
        <f t="shared" si="1109"/>
        <v>7.407407407407407E-2</v>
      </c>
      <c r="AT184" s="3">
        <f t="shared" si="1133"/>
        <v>600</v>
      </c>
      <c r="AU184" s="3">
        <f t="shared" si="1133"/>
        <v>600</v>
      </c>
      <c r="AV184" s="3">
        <f t="shared" si="1133"/>
        <v>600</v>
      </c>
      <c r="AW184" s="3">
        <f t="shared" si="1133"/>
        <v>600</v>
      </c>
      <c r="AX184" s="3">
        <f t="shared" si="1133"/>
        <v>600</v>
      </c>
      <c r="AY184" s="3">
        <f t="shared" si="1133"/>
        <v>600</v>
      </c>
      <c r="AZ184" s="3">
        <f t="shared" si="1133"/>
        <v>600</v>
      </c>
      <c r="BA184" s="3">
        <f t="shared" si="1133"/>
        <v>600</v>
      </c>
      <c r="BB184" s="3">
        <f t="shared" si="1133"/>
        <v>600</v>
      </c>
      <c r="BC184" s="3">
        <f t="shared" si="916"/>
        <v>600</v>
      </c>
      <c r="BD184" s="7"/>
      <c r="BE184" s="3">
        <f t="shared" si="1077"/>
        <v>-2192269765.3858433</v>
      </c>
      <c r="BF184" s="3">
        <f t="shared" si="1077"/>
        <v>-2195130245.6686487</v>
      </c>
      <c r="BG184" s="3">
        <f t="shared" si="1077"/>
        <v>-2198233959.644279</v>
      </c>
      <c r="BH184" s="3">
        <f t="shared" si="1077"/>
        <v>-2201561024.3464227</v>
      </c>
      <c r="BI184" s="3">
        <f t="shared" si="1078"/>
        <v>-2205099560.8492336</v>
      </c>
      <c r="BJ184" s="3">
        <f t="shared" si="1079"/>
        <v>-2208841889.7211833</v>
      </c>
      <c r="BK184" s="3">
        <f t="shared" si="1134"/>
        <v>-2212782422.2759118</v>
      </c>
      <c r="BL184" s="3">
        <f t="shared" si="1157"/>
        <v>-2216916077.2681613</v>
      </c>
      <c r="BM184" s="3">
        <f t="shared" si="1177"/>
        <v>-2221237684.9642439</v>
      </c>
      <c r="BN184" s="7"/>
      <c r="BO184" s="3">
        <f t="shared" si="928"/>
        <v>650</v>
      </c>
      <c r="BP184" s="3">
        <f t="shared" si="1135"/>
        <v>650</v>
      </c>
      <c r="BQ184" s="3">
        <f t="shared" si="1135"/>
        <v>650</v>
      </c>
      <c r="BR184" s="3">
        <f t="shared" si="1135"/>
        <v>650</v>
      </c>
      <c r="BS184" s="3">
        <f t="shared" si="1135"/>
        <v>650</v>
      </c>
      <c r="BT184" s="3">
        <f t="shared" si="1135"/>
        <v>650</v>
      </c>
      <c r="BU184" s="3">
        <f t="shared" si="1135"/>
        <v>650</v>
      </c>
      <c r="BV184" s="3">
        <f t="shared" si="1135"/>
        <v>650</v>
      </c>
      <c r="BW184" s="3">
        <f t="shared" si="1135"/>
        <v>650</v>
      </c>
      <c r="BX184" s="3">
        <f t="shared" si="1135"/>
        <v>650</v>
      </c>
      <c r="BY184" s="5">
        <v>9</v>
      </c>
      <c r="BZ184" s="6">
        <f t="shared" si="1110"/>
        <v>7.407407407407407E-2</v>
      </c>
      <c r="CC184" s="94"/>
      <c r="CD184" s="95"/>
      <c r="CE184" s="5">
        <v>9</v>
      </c>
      <c r="CF184" s="6">
        <f t="shared" si="1111"/>
        <v>7.407407407407407E-2</v>
      </c>
      <c r="CG184" s="3">
        <f t="shared" si="1136"/>
        <v>600</v>
      </c>
      <c r="CH184" s="3">
        <f t="shared" si="1136"/>
        <v>600</v>
      </c>
      <c r="CI184" s="3">
        <f t="shared" si="1136"/>
        <v>600</v>
      </c>
      <c r="CJ184" s="3">
        <f t="shared" si="1136"/>
        <v>600</v>
      </c>
      <c r="CK184" s="3">
        <f t="shared" si="1136"/>
        <v>600</v>
      </c>
      <c r="CL184" s="3">
        <f t="shared" si="1136"/>
        <v>600</v>
      </c>
      <c r="CM184" s="3">
        <f t="shared" si="1136"/>
        <v>600</v>
      </c>
      <c r="CN184" s="3">
        <f t="shared" si="1136"/>
        <v>600</v>
      </c>
      <c r="CO184" s="3">
        <f t="shared" si="1136"/>
        <v>600</v>
      </c>
      <c r="CP184" s="3">
        <f t="shared" si="929"/>
        <v>600</v>
      </c>
      <c r="CQ184" s="3">
        <v>0</v>
      </c>
      <c r="CR184" s="3">
        <f t="shared" ref="CR184" si="1194">$O$2/($O$3-$O$4*CR183)</f>
        <v>0.11665710012935292</v>
      </c>
      <c r="CS184" s="3">
        <f t="shared" ref="CS184" si="1195">$O$2/($O$3-$O$4*CS183)</f>
        <v>0.11667842667201472</v>
      </c>
      <c r="CT184" s="3">
        <f t="shared" ref="CT184" si="1196">$O$2/($O$3-$O$4*CT183)</f>
        <v>0.11667843062532661</v>
      </c>
      <c r="CU184" s="3">
        <f t="shared" ref="CU184" si="1197">$O$2/($O$3-$O$4*CU183)</f>
        <v>0.11667843062533659</v>
      </c>
      <c r="CV184" s="3">
        <f t="shared" ref="CV184" si="1198">$O$2/($O$3-$O$4*CV183)</f>
        <v>0.11667843062533659</v>
      </c>
      <c r="CW184" s="3">
        <f t="shared" ref="CW184" si="1199">$O$2/($O$3-$O$4*CW183)</f>
        <v>0.11667843062533659</v>
      </c>
      <c r="CX184" s="3">
        <f t="shared" ref="CX184" si="1200">$O$2/($O$3-$O$4*CX183)</f>
        <v>0.11667843062532661</v>
      </c>
      <c r="CY184" s="3">
        <f t="shared" ref="CY184" si="1201">$O$2/($O$3-$O$4*CY183)</f>
        <v>0.11667842667201472</v>
      </c>
      <c r="CZ184" s="3">
        <f t="shared" ref="CZ184" si="1202">$O$2/($O$3-$O$4*CZ183)</f>
        <v>0.11665710012935292</v>
      </c>
      <c r="DA184" s="3">
        <v>0</v>
      </c>
      <c r="DB184" s="3">
        <f t="shared" si="941"/>
        <v>650</v>
      </c>
      <c r="DC184" s="3">
        <f t="shared" si="1139"/>
        <v>650</v>
      </c>
      <c r="DD184" s="3">
        <f t="shared" si="1139"/>
        <v>650</v>
      </c>
      <c r="DE184" s="3">
        <f t="shared" si="1139"/>
        <v>650</v>
      </c>
      <c r="DF184" s="3">
        <f t="shared" si="1139"/>
        <v>650</v>
      </c>
      <c r="DG184" s="3">
        <f t="shared" si="1139"/>
        <v>650</v>
      </c>
      <c r="DH184" s="3">
        <f t="shared" si="1139"/>
        <v>650</v>
      </c>
      <c r="DI184" s="3">
        <f t="shared" si="1139"/>
        <v>650</v>
      </c>
      <c r="DJ184" s="3">
        <f t="shared" si="1139"/>
        <v>650</v>
      </c>
      <c r="DK184" s="3">
        <f t="shared" si="1139"/>
        <v>650</v>
      </c>
      <c r="DL184" s="5">
        <v>9</v>
      </c>
      <c r="DM184" s="6">
        <f t="shared" si="1112"/>
        <v>7.407407407407407E-2</v>
      </c>
      <c r="DQ184" s="94"/>
      <c r="DR184" s="95"/>
      <c r="DS184" s="5">
        <v>9</v>
      </c>
      <c r="DT184" s="6">
        <f t="shared" si="1113"/>
        <v>7.407407407407407E-2</v>
      </c>
      <c r="DU184" s="3">
        <f t="shared" si="1140"/>
        <v>600</v>
      </c>
      <c r="DV184" s="3">
        <f t="shared" si="1140"/>
        <v>600</v>
      </c>
      <c r="DW184" s="3">
        <f t="shared" si="1140"/>
        <v>600</v>
      </c>
      <c r="DX184" s="3">
        <f t="shared" si="1140"/>
        <v>600</v>
      </c>
      <c r="DY184" s="3">
        <f t="shared" si="1140"/>
        <v>600</v>
      </c>
      <c r="DZ184" s="3">
        <f t="shared" si="1140"/>
        <v>600</v>
      </c>
      <c r="EA184" s="3">
        <f t="shared" si="1140"/>
        <v>600</v>
      </c>
      <c r="EB184" s="3">
        <f t="shared" si="1140"/>
        <v>600</v>
      </c>
      <c r="EC184" s="3">
        <f t="shared" si="1140"/>
        <v>600</v>
      </c>
      <c r="ED184" s="3">
        <f t="shared" si="942"/>
        <v>600</v>
      </c>
      <c r="EE184" s="3">
        <f t="shared" ref="EE184" si="1203">Q184</f>
        <v>608.08211193278419</v>
      </c>
      <c r="EF184" s="3">
        <f t="shared" si="1180"/>
        <v>539.83333538816953</v>
      </c>
      <c r="EG184" s="3">
        <f t="shared" si="1181"/>
        <v>540.5426372231633</v>
      </c>
      <c r="EH184" s="3">
        <f t="shared" si="1182"/>
        <v>541.30633026829389</v>
      </c>
      <c r="EI184" s="3">
        <f t="shared" si="1183"/>
        <v>542.12492514900271</v>
      </c>
      <c r="EJ184" s="3">
        <f t="shared" si="1184"/>
        <v>542.99579538467185</v>
      </c>
      <c r="EK184" s="3">
        <f t="shared" si="1185"/>
        <v>543.91709790264031</v>
      </c>
      <c r="EL184" s="3">
        <f t="shared" si="1186"/>
        <v>544.88749829827873</v>
      </c>
      <c r="EM184" s="3">
        <f t="shared" si="1187"/>
        <v>545.90554717555983</v>
      </c>
      <c r="EN184" s="3">
        <f t="shared" si="1188"/>
        <v>546.99532538448932</v>
      </c>
      <c r="EO184" s="3">
        <f t="shared" ref="EO184" si="1204">AA184</f>
        <v>620.81176449919099</v>
      </c>
      <c r="EP184" s="3">
        <f t="shared" si="954"/>
        <v>650</v>
      </c>
      <c r="EQ184" s="3">
        <f t="shared" si="1146"/>
        <v>650</v>
      </c>
      <c r="ER184" s="3">
        <f t="shared" si="1146"/>
        <v>650</v>
      </c>
      <c r="ES184" s="3">
        <f t="shared" si="1146"/>
        <v>650</v>
      </c>
      <c r="ET184" s="3">
        <f t="shared" si="1146"/>
        <v>650</v>
      </c>
      <c r="EU184" s="3">
        <f t="shared" si="1146"/>
        <v>650</v>
      </c>
      <c r="EV184" s="3">
        <f t="shared" si="1146"/>
        <v>650</v>
      </c>
      <c r="EW184" s="3">
        <f t="shared" si="1146"/>
        <v>650</v>
      </c>
      <c r="EX184" s="3">
        <f t="shared" si="1146"/>
        <v>650</v>
      </c>
      <c r="EY184" s="3">
        <f t="shared" si="1146"/>
        <v>650</v>
      </c>
      <c r="EZ184" s="5">
        <v>9</v>
      </c>
      <c r="FA184" s="6">
        <f t="shared" si="1114"/>
        <v>7.407407407407407E-2</v>
      </c>
    </row>
    <row r="185" spans="3:157" ht="15" customHeight="1" x14ac:dyDescent="0.3">
      <c r="C185" s="94"/>
      <c r="D185" s="95"/>
      <c r="E185" s="5">
        <v>8</v>
      </c>
      <c r="F185" s="6">
        <f t="shared" si="1107"/>
        <v>6.4814814814814811E-2</v>
      </c>
      <c r="G185" s="3">
        <f t="shared" si="1129"/>
        <v>600</v>
      </c>
      <c r="H185" s="3">
        <f t="shared" si="1129"/>
        <v>600</v>
      </c>
      <c r="I185" s="3">
        <f t="shared" si="1129"/>
        <v>600</v>
      </c>
      <c r="J185" s="3">
        <f t="shared" si="1129"/>
        <v>600</v>
      </c>
      <c r="K185" s="3">
        <f t="shared" si="1129"/>
        <v>600</v>
      </c>
      <c r="L185" s="3">
        <f t="shared" si="1129"/>
        <v>600</v>
      </c>
      <c r="M185" s="3">
        <f t="shared" si="1129"/>
        <v>600</v>
      </c>
      <c r="N185" s="3">
        <f t="shared" si="1129"/>
        <v>600</v>
      </c>
      <c r="O185" s="3">
        <f t="shared" si="1129"/>
        <v>600</v>
      </c>
      <c r="P185" s="3">
        <f t="shared" ref="P185" si="1205">($F$5*$B$5*P57+$F$4*P122)/($F$4+$F$5*$B$5)</f>
        <v>606.25397213003077</v>
      </c>
      <c r="Q185" s="3">
        <f t="shared" ref="Q185" si="1206">CQ185*Q186+EE185</f>
        <v>608.3632058429879</v>
      </c>
      <c r="R185" s="3">
        <f t="shared" si="1173"/>
        <v>609.48802625470739</v>
      </c>
      <c r="S185" s="3">
        <f t="shared" si="1130"/>
        <v>610.39119423205671</v>
      </c>
      <c r="T185" s="3">
        <f t="shared" si="1130"/>
        <v>611.323576803788</v>
      </c>
      <c r="U185" s="3">
        <f t="shared" si="1071"/>
        <v>612.29407560551238</v>
      </c>
      <c r="V185" s="3">
        <f t="shared" si="1072"/>
        <v>613.307359138028</v>
      </c>
      <c r="W185" s="3">
        <f t="shared" si="1073"/>
        <v>614.36670823795612</v>
      </c>
      <c r="X185" s="3">
        <f t="shared" ref="X185" si="1207">CX185*X186+EL185</f>
        <v>615.47453690831117</v>
      </c>
      <c r="Y185" s="3">
        <f t="shared" ref="Y185" si="1208">CY185*Y186+EM185</f>
        <v>616.63270580436949</v>
      </c>
      <c r="Z185" s="3">
        <f t="shared" ref="Z185" si="1209">CZ185*Z186+EN185</f>
        <v>617.84434466563687</v>
      </c>
      <c r="AA185" s="3">
        <f t="shared" ref="AA185" si="1210">DA185*AA186+EO185</f>
        <v>619.16384753778721</v>
      </c>
      <c r="AB185" s="3">
        <f t="shared" ref="AB185" si="1211">($F$5*$B$5*AB57+$F$4*AB122)/($F$4+$F$5*$B$5)</f>
        <v>620.76594797104724</v>
      </c>
      <c r="AC185" s="3">
        <f t="shared" si="1132"/>
        <v>650</v>
      </c>
      <c r="AD185" s="3">
        <f t="shared" si="1132"/>
        <v>650</v>
      </c>
      <c r="AE185" s="3">
        <f t="shared" si="1132"/>
        <v>650</v>
      </c>
      <c r="AF185" s="3">
        <f t="shared" si="1132"/>
        <v>650</v>
      </c>
      <c r="AG185" s="3">
        <f t="shared" si="1132"/>
        <v>650</v>
      </c>
      <c r="AH185" s="3">
        <f t="shared" si="1132"/>
        <v>650</v>
      </c>
      <c r="AI185" s="3">
        <f t="shared" si="1132"/>
        <v>650</v>
      </c>
      <c r="AJ185" s="3">
        <f t="shared" si="1132"/>
        <v>650</v>
      </c>
      <c r="AK185" s="3">
        <f t="shared" si="1132"/>
        <v>650</v>
      </c>
      <c r="AL185" s="5">
        <v>8</v>
      </c>
      <c r="AM185" s="6">
        <f t="shared" si="1108"/>
        <v>6.4814814814814811E-2</v>
      </c>
      <c r="AP185" s="102"/>
      <c r="AQ185" s="101"/>
      <c r="AR185" s="5">
        <v>8</v>
      </c>
      <c r="AS185" s="6">
        <f t="shared" si="1109"/>
        <v>6.4814814814814811E-2</v>
      </c>
      <c r="AT185" s="3">
        <f t="shared" si="1133"/>
        <v>600</v>
      </c>
      <c r="AU185" s="3">
        <f t="shared" si="1133"/>
        <v>600</v>
      </c>
      <c r="AV185" s="3">
        <f t="shared" si="1133"/>
        <v>600</v>
      </c>
      <c r="AW185" s="3">
        <f t="shared" si="1133"/>
        <v>600</v>
      </c>
      <c r="AX185" s="3">
        <f t="shared" si="1133"/>
        <v>600</v>
      </c>
      <c r="AY185" s="3">
        <f t="shared" si="1133"/>
        <v>600</v>
      </c>
      <c r="AZ185" s="3">
        <f t="shared" si="1133"/>
        <v>600</v>
      </c>
      <c r="BA185" s="3">
        <f t="shared" si="1133"/>
        <v>600</v>
      </c>
      <c r="BB185" s="3">
        <f t="shared" si="1133"/>
        <v>600</v>
      </c>
      <c r="BC185" s="7"/>
      <c r="BD185" s="3">
        <f t="shared" ref="BD185" si="1212">-($F$3*$F$2)/$B$8*Q121</f>
        <v>-2183479696.8968487</v>
      </c>
      <c r="BE185" s="3">
        <f t="shared" si="1077"/>
        <v>-2186715644.4422903</v>
      </c>
      <c r="BF185" s="3">
        <f t="shared" si="1077"/>
        <v>-2190001965.9805808</v>
      </c>
      <c r="BG185" s="3">
        <f t="shared" si="1077"/>
        <v>-2193381404.8326373</v>
      </c>
      <c r="BH185" s="3">
        <f t="shared" si="1077"/>
        <v>-2196886040.1807156</v>
      </c>
      <c r="BI185" s="3">
        <f t="shared" si="1078"/>
        <v>-2200537299.3470759</v>
      </c>
      <c r="BJ185" s="3">
        <f t="shared" si="1079"/>
        <v>-2204349966.9723287</v>
      </c>
      <c r="BK185" s="3">
        <f t="shared" si="1134"/>
        <v>-2208334782.4917316</v>
      </c>
      <c r="BL185" s="3">
        <f t="shared" si="1157"/>
        <v>-2212500254.8130755</v>
      </c>
      <c r="BM185" s="3">
        <f t="shared" si="1177"/>
        <v>-2216854295.8440766</v>
      </c>
      <c r="BN185" s="3">
        <f t="shared" ref="BN185" si="1213">-($F$3*$F$2)/$B$8*AA121</f>
        <v>-2221401458.038929</v>
      </c>
      <c r="BO185" s="7"/>
      <c r="BP185" s="3">
        <f t="shared" si="1135"/>
        <v>650</v>
      </c>
      <c r="BQ185" s="3">
        <f t="shared" si="1135"/>
        <v>650</v>
      </c>
      <c r="BR185" s="3">
        <f t="shared" si="1135"/>
        <v>650</v>
      </c>
      <c r="BS185" s="3">
        <f t="shared" si="1135"/>
        <v>650</v>
      </c>
      <c r="BT185" s="3">
        <f t="shared" si="1135"/>
        <v>650</v>
      </c>
      <c r="BU185" s="3">
        <f t="shared" si="1135"/>
        <v>650</v>
      </c>
      <c r="BV185" s="3">
        <f t="shared" si="1135"/>
        <v>650</v>
      </c>
      <c r="BW185" s="3">
        <f t="shared" si="1135"/>
        <v>650</v>
      </c>
      <c r="BX185" s="3">
        <f t="shared" si="1135"/>
        <v>650</v>
      </c>
      <c r="BY185" s="5">
        <v>8</v>
      </c>
      <c r="BZ185" s="6">
        <f t="shared" si="1110"/>
        <v>6.4814814814814811E-2</v>
      </c>
      <c r="CC185" s="94"/>
      <c r="CD185" s="95"/>
      <c r="CE185" s="5">
        <v>8</v>
      </c>
      <c r="CF185" s="6">
        <f t="shared" si="1111"/>
        <v>6.4814814814814811E-2</v>
      </c>
      <c r="CG185" s="3">
        <f t="shared" si="1136"/>
        <v>600</v>
      </c>
      <c r="CH185" s="3">
        <f t="shared" si="1136"/>
        <v>600</v>
      </c>
      <c r="CI185" s="3">
        <f t="shared" si="1136"/>
        <v>600</v>
      </c>
      <c r="CJ185" s="3">
        <f t="shared" si="1136"/>
        <v>600</v>
      </c>
      <c r="CK185" s="3">
        <f t="shared" si="1136"/>
        <v>600</v>
      </c>
      <c r="CL185" s="3">
        <f t="shared" si="1136"/>
        <v>600</v>
      </c>
      <c r="CM185" s="3">
        <f t="shared" si="1136"/>
        <v>600</v>
      </c>
      <c r="CN185" s="3">
        <f t="shared" si="1136"/>
        <v>600</v>
      </c>
      <c r="CO185" s="3">
        <f t="shared" si="1136"/>
        <v>600</v>
      </c>
      <c r="CP185" s="3">
        <v>0</v>
      </c>
      <c r="CQ185" s="3">
        <f t="shared" ref="CQ185" si="1214">$O$2/($O$3-$O$4*CQ184)</f>
        <v>0.11511132164850782</v>
      </c>
      <c r="CR185" s="3">
        <f t="shared" ref="CR185" si="1215">$O$2/($O$3-$O$4*CR184)</f>
        <v>0.1166781402357549</v>
      </c>
      <c r="CS185" s="3">
        <f t="shared" ref="CS185" si="1216">$O$2/($O$3-$O$4*CS184)</f>
        <v>0.11667843057151663</v>
      </c>
      <c r="CT185" s="3">
        <f t="shared" ref="CT185" si="1217">$O$2/($O$3-$O$4*CT184)</f>
        <v>0.11667843062533644</v>
      </c>
      <c r="CU185" s="3">
        <f t="shared" si="1090"/>
        <v>0.11667843062533659</v>
      </c>
      <c r="CV185" s="3">
        <f t="shared" si="1091"/>
        <v>0.11667843062533659</v>
      </c>
      <c r="CW185" s="3">
        <f t="shared" si="1092"/>
        <v>0.11667843062533659</v>
      </c>
      <c r="CX185" s="3">
        <f t="shared" ref="CX185" si="1218">$O$2/($O$3-$O$4*CX184)</f>
        <v>0.11667843062533644</v>
      </c>
      <c r="CY185" s="3">
        <f t="shared" ref="CY185" si="1219">$O$2/($O$3-$O$4*CY184)</f>
        <v>0.11667843057151663</v>
      </c>
      <c r="CZ185" s="3">
        <f t="shared" ref="CZ185" si="1220">$O$2/($O$3-$O$4*CZ184)</f>
        <v>0.1166781402357549</v>
      </c>
      <c r="DA185" s="3">
        <f t="shared" ref="DA185" si="1221">$O$2/($O$3-$O$4*DA184)</f>
        <v>0.11511132164850782</v>
      </c>
      <c r="DB185" s="3">
        <v>0</v>
      </c>
      <c r="DC185" s="3">
        <f t="shared" si="1139"/>
        <v>650</v>
      </c>
      <c r="DD185" s="3">
        <f t="shared" si="1139"/>
        <v>650</v>
      </c>
      <c r="DE185" s="3">
        <f t="shared" si="1139"/>
        <v>650</v>
      </c>
      <c r="DF185" s="3">
        <f t="shared" si="1139"/>
        <v>650</v>
      </c>
      <c r="DG185" s="3">
        <f t="shared" si="1139"/>
        <v>650</v>
      </c>
      <c r="DH185" s="3">
        <f t="shared" si="1139"/>
        <v>650</v>
      </c>
      <c r="DI185" s="3">
        <f t="shared" si="1139"/>
        <v>650</v>
      </c>
      <c r="DJ185" s="3">
        <f t="shared" si="1139"/>
        <v>650</v>
      </c>
      <c r="DK185" s="3">
        <f t="shared" si="1139"/>
        <v>650</v>
      </c>
      <c r="DL185" s="5">
        <v>8</v>
      </c>
      <c r="DM185" s="6">
        <f t="shared" si="1112"/>
        <v>6.4814814814814811E-2</v>
      </c>
      <c r="DQ185" s="94"/>
      <c r="DR185" s="95"/>
      <c r="DS185" s="5">
        <v>8</v>
      </c>
      <c r="DT185" s="6">
        <f t="shared" si="1113"/>
        <v>6.4814814814814811E-2</v>
      </c>
      <c r="DU185" s="3">
        <f t="shared" si="1140"/>
        <v>600</v>
      </c>
      <c r="DV185" s="3">
        <f t="shared" si="1140"/>
        <v>600</v>
      </c>
      <c r="DW185" s="3">
        <f t="shared" si="1140"/>
        <v>600</v>
      </c>
      <c r="DX185" s="3">
        <f t="shared" si="1140"/>
        <v>600</v>
      </c>
      <c r="DY185" s="3">
        <f t="shared" si="1140"/>
        <v>600</v>
      </c>
      <c r="DZ185" s="3">
        <f t="shared" si="1140"/>
        <v>600</v>
      </c>
      <c r="EA185" s="3">
        <f t="shared" si="1140"/>
        <v>600</v>
      </c>
      <c r="EB185" s="3">
        <f t="shared" si="1140"/>
        <v>600</v>
      </c>
      <c r="EC185" s="3">
        <f t="shared" si="1140"/>
        <v>600</v>
      </c>
      <c r="ED185" s="3">
        <f t="shared" ref="ED185" si="1222">P185</f>
        <v>606.25397213003077</v>
      </c>
      <c r="EE185" s="3">
        <f t="shared" ref="EE185" si="1223">(EE184*$O$4-BD185)/($O$3-$O$4*CQ184)</f>
        <v>538.44563877826647</v>
      </c>
      <c r="EF185" s="3">
        <f t="shared" ref="EF185" si="1224">(EF184*$O$4-BE185)/($O$3-$O$4*CR184)</f>
        <v>538.51515849752423</v>
      </c>
      <c r="EG185" s="3">
        <f t="shared" ref="EG185" si="1225">(EG184*$O$4-BF185)/($O$3-$O$4*CS184)</f>
        <v>539.31391184751226</v>
      </c>
      <c r="EH185" s="3">
        <f t="shared" ref="EH185" si="1226">(EH184*$O$4-BG185)/($O$3-$O$4*CT184)</f>
        <v>540.13792127875035</v>
      </c>
      <c r="EI185" s="3">
        <f t="shared" si="1125"/>
        <v>540.99556191815896</v>
      </c>
      <c r="EJ185" s="3">
        <f t="shared" si="1126"/>
        <v>541.89118720916031</v>
      </c>
      <c r="EK185" s="3">
        <f t="shared" si="1127"/>
        <v>542.82779721620466</v>
      </c>
      <c r="EL185" s="3">
        <f t="shared" ref="EL185" si="1227">(EL184*$O$4-BK185)/($O$3-$O$4*CX184)</f>
        <v>543.80757167211686</v>
      </c>
      <c r="EM185" s="3">
        <f t="shared" ref="EM185" si="1228">(EM184*$O$4-BL185)/($O$3-$O$4*CY184)</f>
        <v>544.83219158435645</v>
      </c>
      <c r="EN185" s="3">
        <f t="shared" ref="EN185" si="1229">(EN184*$O$4-BM185)/($O$3-$O$4*CZ184)</f>
        <v>545.90482931654526</v>
      </c>
      <c r="EO185" s="3">
        <f t="shared" ref="EO185" si="1230">(EO184*$O$4-BN185)/($O$3-$O$4*DA184)</f>
        <v>548.04678337126074</v>
      </c>
      <c r="EP185" s="3">
        <f t="shared" ref="EP185" si="1231">AB185</f>
        <v>620.76594797104724</v>
      </c>
      <c r="EQ185" s="3">
        <f t="shared" si="1146"/>
        <v>650</v>
      </c>
      <c r="ER185" s="3">
        <f t="shared" si="1146"/>
        <v>650</v>
      </c>
      <c r="ES185" s="3">
        <f t="shared" si="1146"/>
        <v>650</v>
      </c>
      <c r="ET185" s="3">
        <f t="shared" si="1146"/>
        <v>650</v>
      </c>
      <c r="EU185" s="3">
        <f t="shared" si="1146"/>
        <v>650</v>
      </c>
      <c r="EV185" s="3">
        <f t="shared" si="1146"/>
        <v>650</v>
      </c>
      <c r="EW185" s="3">
        <f t="shared" si="1146"/>
        <v>650</v>
      </c>
      <c r="EX185" s="3">
        <f t="shared" si="1146"/>
        <v>650</v>
      </c>
      <c r="EY185" s="3">
        <f t="shared" si="1146"/>
        <v>650</v>
      </c>
      <c r="EZ185" s="5">
        <v>8</v>
      </c>
      <c r="FA185" s="6">
        <f t="shared" si="1114"/>
        <v>6.4814814814814811E-2</v>
      </c>
    </row>
    <row r="186" spans="3:157" ht="15" customHeight="1" x14ac:dyDescent="0.3">
      <c r="C186" s="94"/>
      <c r="D186" s="95"/>
      <c r="E186" s="5">
        <v>7</v>
      </c>
      <c r="F186" s="6">
        <f t="shared" si="1107"/>
        <v>5.5555555555555552E-2</v>
      </c>
      <c r="G186" s="3">
        <f t="shared" ref="G186:N186" si="1232">$R$2</f>
        <v>600</v>
      </c>
      <c r="H186" s="3">
        <f t="shared" si="1232"/>
        <v>600</v>
      </c>
      <c r="I186" s="3">
        <f t="shared" si="1232"/>
        <v>600</v>
      </c>
      <c r="J186" s="3">
        <f t="shared" si="1232"/>
        <v>600</v>
      </c>
      <c r="K186" s="3">
        <f t="shared" si="1232"/>
        <v>600</v>
      </c>
      <c r="L186" s="3">
        <f t="shared" si="1232"/>
        <v>600</v>
      </c>
      <c r="M186" s="3">
        <f t="shared" si="1232"/>
        <v>600</v>
      </c>
      <c r="N186" s="3">
        <f t="shared" si="1232"/>
        <v>600</v>
      </c>
      <c r="O186" s="3">
        <f t="shared" ref="O186" si="1233">($F$5*$B$5*O58+$F$4*O123)/($F$4+$F$5*$B$5)</f>
        <v>604.23932728069758</v>
      </c>
      <c r="P186" s="3">
        <f t="shared" ref="P186" si="1234">CP186*P187+ED186</f>
        <v>606.43958115420287</v>
      </c>
      <c r="Q186" s="3">
        <f t="shared" ref="Q186" si="1235">CQ186*Q187+EE186</f>
        <v>607.39088096142802</v>
      </c>
      <c r="R186" s="3">
        <f t="shared" ref="R186" si="1236">CR186*R187+EF186</f>
        <v>608.27904536169717</v>
      </c>
      <c r="S186" s="3">
        <f t="shared" si="1130"/>
        <v>609.17242404094941</v>
      </c>
      <c r="T186" s="3">
        <f t="shared" si="1130"/>
        <v>610.10124273628958</v>
      </c>
      <c r="U186" s="3">
        <f t="shared" si="1071"/>
        <v>611.06850088083934</v>
      </c>
      <c r="V186" s="3">
        <f t="shared" si="1072"/>
        <v>612.0768984131314</v>
      </c>
      <c r="W186" s="3">
        <f t="shared" si="1073"/>
        <v>613.12884170912798</v>
      </c>
      <c r="X186" s="3">
        <f t="shared" ref="X186" si="1237">CX186*X187+EL186</f>
        <v>614.22633859657037</v>
      </c>
      <c r="Y186" s="3">
        <f t="shared" ref="Y186" si="1238">CY186*Y187+EM186</f>
        <v>615.37092904248277</v>
      </c>
      <c r="Z186" s="3">
        <f t="shared" ref="Z186" si="1239">CZ186*Z187+EN186</f>
        <v>616.56378138813022</v>
      </c>
      <c r="AA186" s="3">
        <f t="shared" ref="AA186" si="1240">DA186*AA187+EO186</f>
        <v>617.81120352073026</v>
      </c>
      <c r="AB186" s="3">
        <f t="shared" ref="AB186" si="1241">DB186*AB187+EP186</f>
        <v>619.12816631060491</v>
      </c>
      <c r="AC186" s="3">
        <f t="shared" ref="AC186" si="1242">($F$5*$B$5*AC58+$F$4*AC123)/($F$4+$F$5*$B$5)</f>
        <v>620.93466734764309</v>
      </c>
      <c r="AD186" s="3">
        <f t="shared" ref="AD186:AK186" si="1243">$R$3</f>
        <v>650</v>
      </c>
      <c r="AE186" s="3">
        <f t="shared" si="1243"/>
        <v>650</v>
      </c>
      <c r="AF186" s="3">
        <f t="shared" si="1243"/>
        <v>650</v>
      </c>
      <c r="AG186" s="3">
        <f t="shared" si="1243"/>
        <v>650</v>
      </c>
      <c r="AH186" s="3">
        <f t="shared" si="1243"/>
        <v>650</v>
      </c>
      <c r="AI186" s="3">
        <f t="shared" si="1243"/>
        <v>650</v>
      </c>
      <c r="AJ186" s="3">
        <f t="shared" si="1243"/>
        <v>650</v>
      </c>
      <c r="AK186" s="3">
        <f t="shared" si="1243"/>
        <v>650</v>
      </c>
      <c r="AL186" s="5">
        <v>7</v>
      </c>
      <c r="AM186" s="6">
        <f t="shared" si="1108"/>
        <v>5.5555555555555552E-2</v>
      </c>
      <c r="AP186" s="102"/>
      <c r="AQ186" s="101"/>
      <c r="AR186" s="5">
        <v>7</v>
      </c>
      <c r="AS186" s="6">
        <f t="shared" si="1109"/>
        <v>5.5555555555555552E-2</v>
      </c>
      <c r="AT186" s="3">
        <f t="shared" ref="AT186:BA186" si="1244">$R$2</f>
        <v>600</v>
      </c>
      <c r="AU186" s="3">
        <f t="shared" si="1244"/>
        <v>600</v>
      </c>
      <c r="AV186" s="3">
        <f t="shared" si="1244"/>
        <v>600</v>
      </c>
      <c r="AW186" s="3">
        <f t="shared" si="1244"/>
        <v>600</v>
      </c>
      <c r="AX186" s="3">
        <f t="shared" si="1244"/>
        <v>600</v>
      </c>
      <c r="AY186" s="3">
        <f t="shared" si="1244"/>
        <v>600</v>
      </c>
      <c r="AZ186" s="3">
        <f t="shared" si="1244"/>
        <v>600</v>
      </c>
      <c r="BA186" s="3">
        <f t="shared" si="1244"/>
        <v>600</v>
      </c>
      <c r="BB186" s="7"/>
      <c r="BC186" s="3">
        <f t="shared" ref="BC186" si="1245">-($F$3*$F$2)/$B$8*P122</f>
        <v>-2176540078.2055964</v>
      </c>
      <c r="BD186" s="3">
        <f t="shared" ref="BD186" si="1246">-($F$3*$F$2)/$B$8*Q122</f>
        <v>-2179374087.7890983</v>
      </c>
      <c r="BE186" s="3">
        <f t="shared" ref="BE186" si="1247">-($F$3*$F$2)/$B$8*R122</f>
        <v>-2182441942.9894643</v>
      </c>
      <c r="BF186" s="3">
        <f t="shared" ref="BF186" si="1248">-($F$3*$F$2)/$B$8*S122</f>
        <v>-2185644016.9894128</v>
      </c>
      <c r="BG186" s="3">
        <f t="shared" ref="BG186" si="1249">-($F$3*$F$2)/$B$8*T122</f>
        <v>-2188980585.9224339</v>
      </c>
      <c r="BH186" s="3">
        <f t="shared" ref="BH186" si="1250">-($F$3*$F$2)/$B$8*U122</f>
        <v>-2192457680.0302577</v>
      </c>
      <c r="BI186" s="3">
        <f t="shared" ref="BI186" si="1251">-($F$3*$F$2)/$B$8*V122</f>
        <v>-2196082962.6588941</v>
      </c>
      <c r="BJ186" s="3">
        <f t="shared" ref="BJ186" si="1252">-($F$3*$F$2)/$B$8*W122</f>
        <v>-2199863963.0113363</v>
      </c>
      <c r="BK186" s="3">
        <f t="shared" ref="BK186" si="1253">-($F$3*$F$2)/$B$8*X122</f>
        <v>-2203807113.0449848</v>
      </c>
      <c r="BL186" s="3">
        <f t="shared" ref="BL186" si="1254">-($F$3*$F$2)/$B$8*Y122</f>
        <v>-2207917081.4267459</v>
      </c>
      <c r="BM186" s="3">
        <f t="shared" ref="BM186" si="1255">-($F$3*$F$2)/$B$8*Z122</f>
        <v>-2212196042.2158713</v>
      </c>
      <c r="BN186" s="3">
        <f t="shared" ref="BN186" si="1256">-($F$3*$F$2)/$B$8*AA122</f>
        <v>-2216641945.3566279</v>
      </c>
      <c r="BO186" s="3">
        <f t="shared" ref="BO186" si="1257">-($F$3*$F$2)/$B$8*AB122</f>
        <v>-2221227538.498095</v>
      </c>
      <c r="BP186" s="7"/>
      <c r="BQ186" s="3">
        <f t="shared" ref="BQ186:BX186" si="1258">$R$3</f>
        <v>650</v>
      </c>
      <c r="BR186" s="3">
        <f t="shared" si="1258"/>
        <v>650</v>
      </c>
      <c r="BS186" s="3">
        <f t="shared" si="1258"/>
        <v>650</v>
      </c>
      <c r="BT186" s="3">
        <f t="shared" si="1258"/>
        <v>650</v>
      </c>
      <c r="BU186" s="3">
        <f t="shared" si="1258"/>
        <v>650</v>
      </c>
      <c r="BV186" s="3">
        <f t="shared" si="1258"/>
        <v>650</v>
      </c>
      <c r="BW186" s="3">
        <f t="shared" si="1258"/>
        <v>650</v>
      </c>
      <c r="BX186" s="3">
        <f t="shared" si="1258"/>
        <v>650</v>
      </c>
      <c r="BY186" s="5">
        <v>7</v>
      </c>
      <c r="BZ186" s="6">
        <f t="shared" si="1110"/>
        <v>5.5555555555555552E-2</v>
      </c>
      <c r="CC186" s="94"/>
      <c r="CD186" s="95"/>
      <c r="CE186" s="5">
        <v>7</v>
      </c>
      <c r="CF186" s="6">
        <f t="shared" si="1111"/>
        <v>5.5555555555555552E-2</v>
      </c>
      <c r="CG186" s="3">
        <f t="shared" ref="CG186:CN186" si="1259">$R$2</f>
        <v>600</v>
      </c>
      <c r="CH186" s="3">
        <f t="shared" si="1259"/>
        <v>600</v>
      </c>
      <c r="CI186" s="3">
        <f t="shared" si="1259"/>
        <v>600</v>
      </c>
      <c r="CJ186" s="3">
        <f t="shared" si="1259"/>
        <v>600</v>
      </c>
      <c r="CK186" s="3">
        <f t="shared" si="1259"/>
        <v>600</v>
      </c>
      <c r="CL186" s="3">
        <f t="shared" si="1259"/>
        <v>600</v>
      </c>
      <c r="CM186" s="3">
        <f t="shared" si="1259"/>
        <v>600</v>
      </c>
      <c r="CN186" s="3">
        <f t="shared" si="1259"/>
        <v>600</v>
      </c>
      <c r="CO186" s="3">
        <v>0</v>
      </c>
      <c r="CP186" s="3">
        <f t="shared" ref="CP186" si="1260">$O$2/($O$3-$O$4*CP185)</f>
        <v>0.11511132164850782</v>
      </c>
      <c r="CQ186" s="3">
        <f t="shared" ref="CQ186" si="1261">$O$2/($O$3-$O$4*CQ185)</f>
        <v>0.11665710012935292</v>
      </c>
      <c r="CR186" s="3">
        <f t="shared" ref="CR186" si="1262">$O$2/($O$3-$O$4*CR185)</f>
        <v>0.11667842667201472</v>
      </c>
      <c r="CS186" s="3">
        <f t="shared" ref="CS186" si="1263">$O$2/($O$3-$O$4*CS185)</f>
        <v>0.1166784306246039</v>
      </c>
      <c r="CT186" s="3">
        <f t="shared" ref="CT186" si="1264">$O$2/($O$3-$O$4*CT185)</f>
        <v>0.11667843062533659</v>
      </c>
      <c r="CU186" s="3">
        <f t="shared" ref="CU186" si="1265">$O$2/($O$3-$O$4*CU185)</f>
        <v>0.11667843062533659</v>
      </c>
      <c r="CV186" s="3">
        <f t="shared" ref="CV186" si="1266">$O$2/($O$3-$O$4*CV185)</f>
        <v>0.11667843062533659</v>
      </c>
      <c r="CW186" s="3">
        <f t="shared" ref="CW186" si="1267">$O$2/($O$3-$O$4*CW185)</f>
        <v>0.11667843062533659</v>
      </c>
      <c r="CX186" s="3">
        <f t="shared" ref="CX186" si="1268">$O$2/($O$3-$O$4*CX185)</f>
        <v>0.11667843062533659</v>
      </c>
      <c r="CY186" s="3">
        <f t="shared" ref="CY186" si="1269">$O$2/($O$3-$O$4*CY185)</f>
        <v>0.1166784306246039</v>
      </c>
      <c r="CZ186" s="3">
        <f t="shared" ref="CZ186" si="1270">$O$2/($O$3-$O$4*CZ185)</f>
        <v>0.11667842667201472</v>
      </c>
      <c r="DA186" s="3">
        <f t="shared" ref="DA186" si="1271">$O$2/($O$3-$O$4*DA185)</f>
        <v>0.11665710012935292</v>
      </c>
      <c r="DB186" s="3">
        <f t="shared" ref="DB186" si="1272">$O$2/($O$3-$O$4*DB185)</f>
        <v>0.11511132164850782</v>
      </c>
      <c r="DC186" s="3">
        <f>0</f>
        <v>0</v>
      </c>
      <c r="DD186" s="3">
        <f t="shared" ref="DD186:DK186" si="1273">$R$3</f>
        <v>650</v>
      </c>
      <c r="DE186" s="3">
        <f t="shared" si="1273"/>
        <v>650</v>
      </c>
      <c r="DF186" s="3">
        <f t="shared" si="1273"/>
        <v>650</v>
      </c>
      <c r="DG186" s="3">
        <f t="shared" si="1273"/>
        <v>650</v>
      </c>
      <c r="DH186" s="3">
        <f t="shared" si="1273"/>
        <v>650</v>
      </c>
      <c r="DI186" s="3">
        <f t="shared" si="1273"/>
        <v>650</v>
      </c>
      <c r="DJ186" s="3">
        <f t="shared" si="1273"/>
        <v>650</v>
      </c>
      <c r="DK186" s="3">
        <f t="shared" si="1273"/>
        <v>650</v>
      </c>
      <c r="DL186" s="5">
        <v>7</v>
      </c>
      <c r="DM186" s="6">
        <f t="shared" si="1112"/>
        <v>5.5555555555555552E-2</v>
      </c>
      <c r="DQ186" s="94"/>
      <c r="DR186" s="95"/>
      <c r="DS186" s="5">
        <v>7</v>
      </c>
      <c r="DT186" s="6">
        <f t="shared" si="1113"/>
        <v>5.5555555555555552E-2</v>
      </c>
      <c r="DU186" s="3">
        <f t="shared" ref="DU186:EB186" si="1274">$R$2</f>
        <v>600</v>
      </c>
      <c r="DV186" s="3">
        <f t="shared" si="1274"/>
        <v>600</v>
      </c>
      <c r="DW186" s="3">
        <f t="shared" si="1274"/>
        <v>600</v>
      </c>
      <c r="DX186" s="3">
        <f t="shared" si="1274"/>
        <v>600</v>
      </c>
      <c r="DY186" s="3">
        <f t="shared" si="1274"/>
        <v>600</v>
      </c>
      <c r="DZ186" s="3">
        <f t="shared" si="1274"/>
        <v>600</v>
      </c>
      <c r="EA186" s="3">
        <f t="shared" si="1274"/>
        <v>600</v>
      </c>
      <c r="EB186" s="3">
        <f t="shared" si="1274"/>
        <v>600</v>
      </c>
      <c r="EC186" s="3">
        <f t="shared" ref="EC186" si="1275">O186</f>
        <v>604.23932728069758</v>
      </c>
      <c r="ED186" s="3">
        <f t="shared" ref="ED186" si="1276">(ED185*$O$4-BC186)/($O$3-$O$4*CP185)</f>
        <v>536.74635823827646</v>
      </c>
      <c r="EE186" s="3">
        <f t="shared" ref="EE186" si="1277">(EE185*$O$4-BD186)/($O$3-$O$4*CQ185)</f>
        <v>536.65994097317389</v>
      </c>
      <c r="EF186" s="3">
        <f t="shared" ref="EF186" si="1278">(EF185*$O$4-BE186)/($O$3-$O$4*CR185)</f>
        <v>537.43330609611985</v>
      </c>
      <c r="EG186" s="3">
        <f t="shared" ref="EG186" si="1279">(EG185*$O$4-BF186)/($O$3-$O$4*CS185)</f>
        <v>538.22285398546057</v>
      </c>
      <c r="EH186" s="3">
        <f t="shared" ref="EH186" si="1280">(EH185*$O$4-BG186)/($O$3-$O$4*CT185)</f>
        <v>539.04457817435605</v>
      </c>
      <c r="EI186" s="3">
        <f t="shared" ref="EI186" si="1281">(EI185*$O$4-BH186)/($O$3-$O$4*CU185)</f>
        <v>539.90078541279399</v>
      </c>
      <c r="EJ186" s="3">
        <f t="shared" ref="EJ186" si="1282">(EJ185*$O$4-BI186)/($O$3-$O$4*CV185)</f>
        <v>540.7936501507819</v>
      </c>
      <c r="EK186" s="3">
        <f t="shared" ref="EK186" si="1283">(EK185*$O$4-BJ186)/($O$3-$O$4*CW185)</f>
        <v>541.72515975367958</v>
      </c>
      <c r="EL186" s="3">
        <f t="shared" ref="EL186" si="1284">(EL185*$O$4-BK186)/($O$3-$O$4*CX185)</f>
        <v>542.69696726159759</v>
      </c>
      <c r="EM186" s="3">
        <f t="shared" ref="EM186" si="1285">(EM185*$O$4-BL186)/($O$3-$O$4*CY185)</f>
        <v>543.71028407042149</v>
      </c>
      <c r="EN186" s="3">
        <f t="shared" ref="EN186" si="1286">(EN185*$O$4-BM186)/($O$3-$O$4*CZ185)</f>
        <v>544.76593465623034</v>
      </c>
      <c r="EO186" s="3">
        <f t="shared" ref="EO186" si="1287">(EO185*$O$4-BN186)/($O$3-$O$4*DA185)</f>
        <v>545.88287858557987</v>
      </c>
      <c r="EP186" s="3">
        <f t="shared" ref="EP186" si="1288">(EP185*$O$4-BO186)/($O$3-$O$4*DB185)</f>
        <v>548.00419629199712</v>
      </c>
      <c r="EQ186" s="3">
        <f t="shared" ref="EQ186" si="1289">AC186</f>
        <v>620.93466734764309</v>
      </c>
      <c r="ER186" s="3">
        <f t="shared" ref="ER186:EY186" si="1290">$R$3</f>
        <v>650</v>
      </c>
      <c r="ES186" s="3">
        <f t="shared" si="1290"/>
        <v>650</v>
      </c>
      <c r="ET186" s="3">
        <f t="shared" si="1290"/>
        <v>650</v>
      </c>
      <c r="EU186" s="3">
        <f t="shared" si="1290"/>
        <v>650</v>
      </c>
      <c r="EV186" s="3">
        <f t="shared" si="1290"/>
        <v>650</v>
      </c>
      <c r="EW186" s="3">
        <f t="shared" si="1290"/>
        <v>650</v>
      </c>
      <c r="EX186" s="3">
        <f t="shared" si="1290"/>
        <v>650</v>
      </c>
      <c r="EY186" s="3">
        <f t="shared" si="1290"/>
        <v>650</v>
      </c>
      <c r="EZ186" s="5">
        <v>7</v>
      </c>
      <c r="FA186" s="6">
        <f t="shared" si="1114"/>
        <v>5.5555555555555552E-2</v>
      </c>
    </row>
    <row r="187" spans="3:157" ht="15" customHeight="1" x14ac:dyDescent="0.3">
      <c r="C187" s="94"/>
      <c r="D187" s="95"/>
      <c r="E187" s="5">
        <v>6</v>
      </c>
      <c r="F187" s="6">
        <f t="shared" si="1107"/>
        <v>4.6296296296296294E-2</v>
      </c>
      <c r="G187" s="3">
        <f t="shared" ref="G187:L187" si="1291">$R$2</f>
        <v>600</v>
      </c>
      <c r="H187" s="3">
        <f t="shared" si="1291"/>
        <v>600</v>
      </c>
      <c r="I187" s="3">
        <f t="shared" si="1291"/>
        <v>600</v>
      </c>
      <c r="J187" s="3">
        <f t="shared" si="1291"/>
        <v>600</v>
      </c>
      <c r="K187" s="3">
        <f t="shared" si="1291"/>
        <v>600</v>
      </c>
      <c r="L187" s="3">
        <f t="shared" si="1291"/>
        <v>600</v>
      </c>
      <c r="M187" s="3">
        <f t="shared" ref="M187:N187" si="1292">($F$5*$B$5*M59+$F$4*M124)/($F$4+$F$5*$B$5)</f>
        <v>602.89593393372695</v>
      </c>
      <c r="N187" s="3">
        <f t="shared" si="1292"/>
        <v>603.39347809769004</v>
      </c>
      <c r="O187" s="3">
        <f t="shared" ref="O187" si="1293">CO187*O188+EC187</f>
        <v>604.42480082323959</v>
      </c>
      <c r="P187" s="3">
        <f t="shared" ref="P187" si="1294">CP187*P188+ED187</f>
        <v>605.44194887045501</v>
      </c>
      <c r="Q187" s="3">
        <f t="shared" ref="Q187" si="1295">CQ187*Q188+EE187</f>
        <v>606.3149170502744</v>
      </c>
      <c r="R187" s="3">
        <f t="shared" ref="R187" si="1296">CR187*R188+EF187</f>
        <v>607.1879891278104</v>
      </c>
      <c r="S187" s="3">
        <f t="shared" si="1130"/>
        <v>608.07785702705303</v>
      </c>
      <c r="T187" s="3">
        <f t="shared" si="1130"/>
        <v>608.99571738414932</v>
      </c>
      <c r="U187" s="3">
        <f t="shared" si="1071"/>
        <v>609.9474863230746</v>
      </c>
      <c r="V187" s="3">
        <f t="shared" si="1072"/>
        <v>610.93766757324215</v>
      </c>
      <c r="W187" s="3">
        <f t="shared" si="1073"/>
        <v>611.96985229198981</v>
      </c>
      <c r="X187" s="3">
        <f t="shared" ref="X187" si="1297">CX187*X188+EL187</f>
        <v>613.04708120954365</v>
      </c>
      <c r="Y187" s="3">
        <f t="shared" ref="Y187" si="1298">CY187*Y188+EM187</f>
        <v>614.17217036985323</v>
      </c>
      <c r="Z187" s="3">
        <f t="shared" ref="Z187" si="1299">CZ187*Z188+EN187</f>
        <v>615.34808772940517</v>
      </c>
      <c r="AA187" s="3">
        <f t="shared" ref="AA187" si="1300">DA187*AA188+EO187</f>
        <v>616.57905824329669</v>
      </c>
      <c r="AB187" s="3">
        <f t="shared" ref="AB187" si="1301">DB187*AB188+EP187</f>
        <v>617.87119633449004</v>
      </c>
      <c r="AC187" s="3">
        <f t="shared" ref="AC187" si="1302">DC187*AC188+EQ187</f>
        <v>619.27850634920344</v>
      </c>
      <c r="AD187" s="3">
        <f t="shared" ref="AD187:AE187" si="1303">($F$5*$B$5*AD59+$F$4*AD124)/($F$4+$F$5*$B$5)</f>
        <v>620.75603941818918</v>
      </c>
      <c r="AE187" s="3">
        <f t="shared" si="1303"/>
        <v>621.98921687875782</v>
      </c>
      <c r="AF187" s="3">
        <f t="shared" ref="AF187:AK187" si="1304">$R$3</f>
        <v>650</v>
      </c>
      <c r="AG187" s="3">
        <f t="shared" si="1304"/>
        <v>650</v>
      </c>
      <c r="AH187" s="3">
        <f t="shared" si="1304"/>
        <v>650</v>
      </c>
      <c r="AI187" s="3">
        <f t="shared" si="1304"/>
        <v>650</v>
      </c>
      <c r="AJ187" s="3">
        <f t="shared" si="1304"/>
        <v>650</v>
      </c>
      <c r="AK187" s="3">
        <f t="shared" si="1304"/>
        <v>650</v>
      </c>
      <c r="AL187" s="5">
        <v>6</v>
      </c>
      <c r="AM187" s="6">
        <f t="shared" si="1108"/>
        <v>4.6296296296296294E-2</v>
      </c>
      <c r="AP187" s="102"/>
      <c r="AQ187" s="101"/>
      <c r="AR187" s="5">
        <v>6</v>
      </c>
      <c r="AS187" s="6">
        <f t="shared" si="1109"/>
        <v>4.6296296296296294E-2</v>
      </c>
      <c r="AT187" s="3">
        <f t="shared" ref="AT187:AY187" si="1305">$R$2</f>
        <v>600</v>
      </c>
      <c r="AU187" s="3">
        <f t="shared" si="1305"/>
        <v>600</v>
      </c>
      <c r="AV187" s="3">
        <f t="shared" si="1305"/>
        <v>600</v>
      </c>
      <c r="AW187" s="3">
        <f t="shared" si="1305"/>
        <v>600</v>
      </c>
      <c r="AX187" s="3">
        <f t="shared" si="1305"/>
        <v>600</v>
      </c>
      <c r="AY187" s="3">
        <f t="shared" si="1305"/>
        <v>600</v>
      </c>
      <c r="AZ187" s="7"/>
      <c r="BA187" s="7"/>
      <c r="BB187" s="3">
        <f t="shared" ref="BB187" si="1306">-($F$3*$F$2)/$B$8*O123</f>
        <v>-2168892486.3575277</v>
      </c>
      <c r="BC187" s="3">
        <f t="shared" ref="BC187" si="1307">-($F$3*$F$2)/$B$8*P123</f>
        <v>-2172068834.3032556</v>
      </c>
      <c r="BD187" s="3">
        <f t="shared" ref="BD187" si="1308">-($F$3*$F$2)/$B$8*Q123</f>
        <v>-2175230226.6737027</v>
      </c>
      <c r="BE187" s="3">
        <f t="shared" si="1077"/>
        <v>-2178405607.5906081</v>
      </c>
      <c r="BF187" s="3">
        <f t="shared" si="1077"/>
        <v>-2181635503.8752236</v>
      </c>
      <c r="BG187" s="3">
        <f t="shared" si="1077"/>
        <v>-2184955066.5282264</v>
      </c>
      <c r="BH187" s="3">
        <f t="shared" si="1077"/>
        <v>-2188389597.5782695</v>
      </c>
      <c r="BI187" s="3">
        <f t="shared" si="1078"/>
        <v>-2191958030.9303136</v>
      </c>
      <c r="BJ187" s="3">
        <f t="shared" si="1079"/>
        <v>-2195675306.7668867</v>
      </c>
      <c r="BK187" s="3">
        <f t="shared" si="1134"/>
        <v>-2199554139.8676915</v>
      </c>
      <c r="BL187" s="3">
        <f t="shared" si="1157"/>
        <v>-2203606587.2490931</v>
      </c>
      <c r="BM187" s="3">
        <f t="shared" ref="BM187" si="1309">-($F$3*$F$2)/$B$8*Z123</f>
        <v>-2207845761.3782768</v>
      </c>
      <c r="BN187" s="3">
        <f t="shared" ref="BN187" si="1310">-($F$3*$F$2)/$B$8*AA123</f>
        <v>-2212288005.3059845</v>
      </c>
      <c r="BO187" s="3">
        <f t="shared" ref="BO187" si="1311">-($F$3*$F$2)/$B$8*AB123</f>
        <v>-2216954028.1590991</v>
      </c>
      <c r="BP187" s="3">
        <f t="shared" ref="BP187" si="1312">-($F$3*$F$2)/$B$8*AC123</f>
        <v>-2221867997.2516532</v>
      </c>
      <c r="BQ187" s="7"/>
      <c r="BR187" s="7"/>
      <c r="BS187" s="3">
        <f t="shared" ref="BS187:BX187" si="1313">$R$3</f>
        <v>650</v>
      </c>
      <c r="BT187" s="3">
        <f t="shared" si="1313"/>
        <v>650</v>
      </c>
      <c r="BU187" s="3">
        <f t="shared" si="1313"/>
        <v>650</v>
      </c>
      <c r="BV187" s="3">
        <f t="shared" si="1313"/>
        <v>650</v>
      </c>
      <c r="BW187" s="3">
        <f t="shared" si="1313"/>
        <v>650</v>
      </c>
      <c r="BX187" s="3">
        <f t="shared" si="1313"/>
        <v>650</v>
      </c>
      <c r="BY187" s="5">
        <v>6</v>
      </c>
      <c r="BZ187" s="6">
        <f t="shared" si="1110"/>
        <v>4.6296296296296294E-2</v>
      </c>
      <c r="CC187" s="94"/>
      <c r="CD187" s="95"/>
      <c r="CE187" s="5">
        <v>6</v>
      </c>
      <c r="CF187" s="6">
        <f t="shared" si="1111"/>
        <v>4.6296296296296294E-2</v>
      </c>
      <c r="CG187" s="3">
        <f t="shared" ref="CG187:CL187" si="1314">$R$2</f>
        <v>600</v>
      </c>
      <c r="CH187" s="3">
        <f t="shared" si="1314"/>
        <v>600</v>
      </c>
      <c r="CI187" s="3">
        <f t="shared" si="1314"/>
        <v>600</v>
      </c>
      <c r="CJ187" s="3">
        <f t="shared" si="1314"/>
        <v>600</v>
      </c>
      <c r="CK187" s="3">
        <f t="shared" si="1314"/>
        <v>600</v>
      </c>
      <c r="CL187" s="3">
        <f t="shared" si="1314"/>
        <v>600</v>
      </c>
      <c r="CM187" s="3">
        <v>0</v>
      </c>
      <c r="CN187" s="3">
        <v>0</v>
      </c>
      <c r="CO187" s="3">
        <f t="shared" ref="CO187" si="1315">$O$2/($O$3-$O$4*CO186)</f>
        <v>0.11511132164850782</v>
      </c>
      <c r="CP187" s="3">
        <f t="shared" ref="CP187" si="1316">$O$2/($O$3-$O$4*CP186)</f>
        <v>0.11665710012935292</v>
      </c>
      <c r="CQ187" s="3">
        <f t="shared" ref="CQ187" si="1317">$O$2/($O$3-$O$4*CQ186)</f>
        <v>0.1166781402357549</v>
      </c>
      <c r="CR187" s="3">
        <f t="shared" ref="CR187" si="1318">$O$2/($O$3-$O$4*CR186)</f>
        <v>0.11667843057151663</v>
      </c>
      <c r="CS187" s="3">
        <f t="shared" ref="CS187" si="1319">$O$2/($O$3-$O$4*CS186)</f>
        <v>0.11667843062532661</v>
      </c>
      <c r="CT187" s="3">
        <f t="shared" ref="CT187" si="1320">$O$2/($O$3-$O$4*CT186)</f>
        <v>0.11667843062533659</v>
      </c>
      <c r="CU187" s="3">
        <f t="shared" si="1090"/>
        <v>0.11667843062533659</v>
      </c>
      <c r="CV187" s="3">
        <f t="shared" si="1091"/>
        <v>0.11667843062533659</v>
      </c>
      <c r="CW187" s="3">
        <f t="shared" si="1092"/>
        <v>0.11667843062533659</v>
      </c>
      <c r="CX187" s="3">
        <f t="shared" ref="CX187" si="1321">$O$2/($O$3-$O$4*CX186)</f>
        <v>0.11667843062533659</v>
      </c>
      <c r="CY187" s="3">
        <f t="shared" ref="CY187" si="1322">$O$2/($O$3-$O$4*CY186)</f>
        <v>0.11667843062532661</v>
      </c>
      <c r="CZ187" s="3">
        <f t="shared" ref="CZ187" si="1323">$O$2/($O$3-$O$4*CZ186)</f>
        <v>0.11667843057151663</v>
      </c>
      <c r="DA187" s="3">
        <f t="shared" ref="DA187" si="1324">$O$2/($O$3-$O$4*DA186)</f>
        <v>0.1166781402357549</v>
      </c>
      <c r="DB187" s="3">
        <f t="shared" ref="DB187" si="1325">$O$2/($O$3-$O$4*DB186)</f>
        <v>0.11665710012935292</v>
      </c>
      <c r="DC187" s="3">
        <f t="shared" ref="DC187" si="1326">$O$2/($O$3-$O$4*DC186)</f>
        <v>0.11511132164850782</v>
      </c>
      <c r="DD187" s="3">
        <v>0</v>
      </c>
      <c r="DE187" s="3">
        <v>0</v>
      </c>
      <c r="DF187" s="3">
        <f t="shared" ref="DF187:DK187" si="1327">$R$3</f>
        <v>650</v>
      </c>
      <c r="DG187" s="3">
        <f t="shared" si="1327"/>
        <v>650</v>
      </c>
      <c r="DH187" s="3">
        <f t="shared" si="1327"/>
        <v>650</v>
      </c>
      <c r="DI187" s="3">
        <f t="shared" si="1327"/>
        <v>650</v>
      </c>
      <c r="DJ187" s="3">
        <f t="shared" si="1327"/>
        <v>650</v>
      </c>
      <c r="DK187" s="3">
        <f t="shared" si="1327"/>
        <v>650</v>
      </c>
      <c r="DL187" s="5">
        <v>6</v>
      </c>
      <c r="DM187" s="6">
        <f t="shared" si="1112"/>
        <v>4.6296296296296294E-2</v>
      </c>
      <c r="DQ187" s="94"/>
      <c r="DR187" s="95"/>
      <c r="DS187" s="5">
        <v>6</v>
      </c>
      <c r="DT187" s="6">
        <f t="shared" si="1113"/>
        <v>4.6296296296296294E-2</v>
      </c>
      <c r="DU187" s="3">
        <f t="shared" ref="DU187:DZ187" si="1328">$R$2</f>
        <v>600</v>
      </c>
      <c r="DV187" s="3">
        <f t="shared" si="1328"/>
        <v>600</v>
      </c>
      <c r="DW187" s="3">
        <f t="shared" si="1328"/>
        <v>600</v>
      </c>
      <c r="DX187" s="3">
        <f t="shared" si="1328"/>
        <v>600</v>
      </c>
      <c r="DY187" s="3">
        <f t="shared" si="1328"/>
        <v>600</v>
      </c>
      <c r="DZ187" s="3">
        <f t="shared" si="1328"/>
        <v>600</v>
      </c>
      <c r="EA187" s="3">
        <f t="shared" ref="EA187" si="1329">M187</f>
        <v>602.89593393372695</v>
      </c>
      <c r="EB187" s="3">
        <f t="shared" ref="EB187" si="1330">N187</f>
        <v>603.39347809769004</v>
      </c>
      <c r="EC187" s="3">
        <f t="shared" ref="EC187" si="1331">(EC186*$O$4-BB187)/($O$3-$O$4*CO186)</f>
        <v>534.87371874850305</v>
      </c>
      <c r="ED187" s="3">
        <f t="shared" ref="ED187" si="1332">(ED186*$O$4-BC187)/($O$3-$O$4*CP186)</f>
        <v>534.87337642433749</v>
      </c>
      <c r="EE187" s="3">
        <f t="shared" ref="EE187" si="1333">(EE186*$O$4-BD187)/($O$3-$O$4*CQ186)</f>
        <v>535.64724634821494</v>
      </c>
      <c r="EF187" s="3">
        <f t="shared" ref="EF187" si="1334">(EF186*$O$4-BE187)/($O$3-$O$4*CR186)</f>
        <v>536.42934189310074</v>
      </c>
      <c r="EG187" s="3">
        <f t="shared" ref="EG187" si="1335">(EG186*$O$4-BF187)/($O$3-$O$4*CS186)</f>
        <v>537.22384806064724</v>
      </c>
      <c r="EH187" s="3">
        <f t="shared" ref="EH187" si="1336">(EH186*$O$4-BG187)/($O$3-$O$4*CT186)</f>
        <v>538.04160737222765</v>
      </c>
      <c r="EI187" s="3">
        <f t="shared" si="1125"/>
        <v>538.88839147641033</v>
      </c>
      <c r="EJ187" s="3">
        <f t="shared" si="1126"/>
        <v>539.76857150711589</v>
      </c>
      <c r="EK187" s="3">
        <f t="shared" si="1127"/>
        <v>540.68562828289134</v>
      </c>
      <c r="EL187" s="3">
        <f t="shared" ref="EL187" si="1337">(EL186*$O$4-BK187)/($O$3-$O$4*CX186)</f>
        <v>541.64251967111852</v>
      </c>
      <c r="EM187" s="3">
        <f t="shared" ref="EM187" si="1338">(EM186*$O$4-BL187)/($O$3-$O$4*CY186)</f>
        <v>542.6420089696345</v>
      </c>
      <c r="EN187" s="3">
        <f t="shared" ref="EN187" si="1339">(EN186*$O$4-BM187)/($O$3-$O$4*CZ186)</f>
        <v>543.68704360190975</v>
      </c>
      <c r="EO187" s="3">
        <f t="shared" ref="EO187" si="1340">(EO186*$O$4-BN187)/($O$3-$O$4*DA186)</f>
        <v>544.78203464202056</v>
      </c>
      <c r="EP187" s="3">
        <f t="shared" ref="EP187" si="1341">(EP186*$O$4-BO187)/($O$3-$O$4*DB186)</f>
        <v>545.94576453425725</v>
      </c>
      <c r="EQ187" s="3">
        <f t="shared" ref="EQ187" si="1342">(EQ186*$O$4-BP187)/($O$3-$O$4*DC186)</f>
        <v>548.16102322226641</v>
      </c>
      <c r="ER187" s="3">
        <f t="shared" ref="ER187" si="1343">AD187</f>
        <v>620.75603941818918</v>
      </c>
      <c r="ES187" s="3">
        <f t="shared" ref="ES187" si="1344">AE187</f>
        <v>621.98921687875782</v>
      </c>
      <c r="ET187" s="3">
        <f t="shared" ref="ET187:EY187" si="1345">$R$3</f>
        <v>650</v>
      </c>
      <c r="EU187" s="3">
        <f t="shared" si="1345"/>
        <v>650</v>
      </c>
      <c r="EV187" s="3">
        <f t="shared" si="1345"/>
        <v>650</v>
      </c>
      <c r="EW187" s="3">
        <f t="shared" si="1345"/>
        <v>650</v>
      </c>
      <c r="EX187" s="3">
        <f t="shared" si="1345"/>
        <v>650</v>
      </c>
      <c r="EY187" s="3">
        <f t="shared" si="1345"/>
        <v>650</v>
      </c>
      <c r="EZ187" s="5">
        <v>6</v>
      </c>
      <c r="FA187" s="6">
        <f t="shared" si="1114"/>
        <v>4.6296296296296294E-2</v>
      </c>
    </row>
    <row r="188" spans="3:157" ht="15" customHeight="1" x14ac:dyDescent="0.3">
      <c r="C188" s="94"/>
      <c r="D188" s="95"/>
      <c r="E188" s="5">
        <v>5</v>
      </c>
      <c r="F188" s="6">
        <f t="shared" si="1107"/>
        <v>3.7037037037037035E-2</v>
      </c>
      <c r="G188" s="3">
        <f>$R$2</f>
        <v>600</v>
      </c>
      <c r="H188" s="3">
        <f>$R$2</f>
        <v>600</v>
      </c>
      <c r="I188" s="3">
        <f>$R$2</f>
        <v>600</v>
      </c>
      <c r="J188" s="3">
        <f>$R$2</f>
        <v>600</v>
      </c>
      <c r="K188" s="3">
        <f t="shared" ref="K188:L188" si="1346">($F$5*$B$5*K60+$F$4*K125)/($F$4+$F$5*$B$5)</f>
        <v>602.18137769003545</v>
      </c>
      <c r="L188" s="3">
        <f t="shared" si="1346"/>
        <v>602.45626620796963</v>
      </c>
      <c r="M188" s="3">
        <f t="shared" ref="M188" si="1347">CM188*M189+EA188</f>
        <v>603.03378024036601</v>
      </c>
      <c r="N188" s="3">
        <f t="shared" ref="N188" si="1348">CN188*N189+EB188</f>
        <v>603.54807558445134</v>
      </c>
      <c r="O188" s="3">
        <f t="shared" ref="O188" si="1349">CO188*O189+EC188</f>
        <v>604.20713687147713</v>
      </c>
      <c r="P188" s="3">
        <f t="shared" ref="P188" si="1350">CP188*P189+ED188</f>
        <v>604.92308113152944</v>
      </c>
      <c r="Q188" s="3">
        <f t="shared" ref="Q188" si="1351">CQ188*Q189+EE188</f>
        <v>605.66332784591327</v>
      </c>
      <c r="R188" s="3">
        <f t="shared" ref="R188" si="1352">CR188*R189+EF188</f>
        <v>606.44154097820979</v>
      </c>
      <c r="S188" s="3">
        <f t="shared" si="1130"/>
        <v>607.25884455825053</v>
      </c>
      <c r="T188" s="3">
        <f t="shared" si="1130"/>
        <v>608.11676701206875</v>
      </c>
      <c r="U188" s="3">
        <f t="shared" si="1071"/>
        <v>609.01654629586585</v>
      </c>
      <c r="V188" s="3">
        <f t="shared" si="1072"/>
        <v>609.95931882779291</v>
      </c>
      <c r="W188" s="3">
        <f t="shared" si="1073"/>
        <v>610.94603027356084</v>
      </c>
      <c r="X188" s="3">
        <f t="shared" ref="X188" si="1353">CX188*X189+EL188</f>
        <v>611.97739081450902</v>
      </c>
      <c r="Y188" s="3">
        <f t="shared" ref="Y188" si="1354">CY188*Y189+EM188</f>
        <v>613.05385251464054</v>
      </c>
      <c r="Z188" s="3">
        <f t="shared" ref="Z188" si="1355">CZ188*Z189+EN188</f>
        <v>614.17559163663668</v>
      </c>
      <c r="AA188" s="3">
        <f t="shared" ref="AA188" si="1356">DA188*AA189+EO188</f>
        <v>615.34254365218817</v>
      </c>
      <c r="AB188" s="3">
        <f t="shared" ref="AB188" si="1357">DB188*AB189+EP188</f>
        <v>616.55425791040284</v>
      </c>
      <c r="AC188" s="3">
        <f t="shared" ref="AC188" si="1358">DC188*AC189+EQ188</f>
        <v>617.81484313153942</v>
      </c>
      <c r="AD188" s="3">
        <f t="shared" ref="AD188" si="1359">DD188*AD189+ER188</f>
        <v>619.11150587155078</v>
      </c>
      <c r="AE188" s="3">
        <f t="shared" ref="AE188" si="1360">DE188*AE189+ES188</f>
        <v>620.39735891951887</v>
      </c>
      <c r="AF188" s="3">
        <f t="shared" ref="AF188:AG188" si="1361">($F$5*$B$5*AF60+$F$4*AF125)/($F$4+$F$5*$B$5)</f>
        <v>621.79359790605508</v>
      </c>
      <c r="AG188" s="3">
        <f t="shared" si="1361"/>
        <v>622.93256311484265</v>
      </c>
      <c r="AH188" s="3">
        <f>$R$3</f>
        <v>650</v>
      </c>
      <c r="AI188" s="3">
        <f>$R$3</f>
        <v>650</v>
      </c>
      <c r="AJ188" s="3">
        <f>$R$3</f>
        <v>650</v>
      </c>
      <c r="AK188" s="3">
        <f>$R$3</f>
        <v>650</v>
      </c>
      <c r="AL188" s="5">
        <v>5</v>
      </c>
      <c r="AM188" s="6">
        <f t="shared" si="1108"/>
        <v>3.7037037037037035E-2</v>
      </c>
      <c r="AP188" s="102"/>
      <c r="AQ188" s="101"/>
      <c r="AR188" s="5">
        <v>5</v>
      </c>
      <c r="AS188" s="6">
        <f t="shared" si="1109"/>
        <v>3.7037037037037035E-2</v>
      </c>
      <c r="AT188" s="3">
        <f>$R$2</f>
        <v>600</v>
      </c>
      <c r="AU188" s="3">
        <f>$R$2</f>
        <v>600</v>
      </c>
      <c r="AV188" s="3">
        <f>$R$2</f>
        <v>600</v>
      </c>
      <c r="AW188" s="3">
        <f>$R$2</f>
        <v>600</v>
      </c>
      <c r="AX188" s="7"/>
      <c r="AY188" s="7"/>
      <c r="AZ188" s="3">
        <f t="shared" ref="AZ188" si="1362">-($F$3*$F$2)/$B$8*M124</f>
        <v>-2163792965.2124276</v>
      </c>
      <c r="BA188" s="3">
        <f t="shared" ref="BA188" si="1363">-($F$3*$F$2)/$B$8*N124</f>
        <v>-2165681642.8588314</v>
      </c>
      <c r="BB188" s="3">
        <f t="shared" ref="BB188" si="1364">-($F$3*$F$2)/$B$8*O124</f>
        <v>-2167916336.1751113</v>
      </c>
      <c r="BC188" s="3">
        <f t="shared" ref="BC188" si="1365">-($F$3*$F$2)/$B$8*P124</f>
        <v>-2170390057.9337802</v>
      </c>
      <c r="BD188" s="3">
        <f t="shared" ref="BD188" si="1366">-($F$3*$F$2)/$B$8*Q124</f>
        <v>-2173025606.6414971</v>
      </c>
      <c r="BE188" s="3">
        <f t="shared" ref="BE188" si="1367">-($F$3*$F$2)/$B$8*R124</f>
        <v>-2175810004.7700934</v>
      </c>
      <c r="BF188" s="3">
        <f t="shared" ref="BF188" si="1368">-($F$3*$F$2)/$B$8*S124</f>
        <v>-2178740595.4757862</v>
      </c>
      <c r="BG188" s="3">
        <f t="shared" ref="BG188" si="1369">-($F$3*$F$2)/$B$8*T124</f>
        <v>-2181819226.3896408</v>
      </c>
      <c r="BH188" s="3">
        <f t="shared" ref="BH188" si="1370">-($F$3*$F$2)/$B$8*U124</f>
        <v>-2185049075.7473707</v>
      </c>
      <c r="BI188" s="3">
        <f t="shared" ref="BI188" si="1371">-($F$3*$F$2)/$B$8*V124</f>
        <v>-2188433541.4758239</v>
      </c>
      <c r="BJ188" s="3">
        <f t="shared" ref="BJ188" si="1372">-($F$3*$F$2)/$B$8*W124</f>
        <v>-2191975640.0127096</v>
      </c>
      <c r="BK188" s="3">
        <f t="shared" ref="BK188" si="1373">-($F$3*$F$2)/$B$8*X124</f>
        <v>-2195677672.2230849</v>
      </c>
      <c r="BL188" s="3">
        <f t="shared" ref="BL188" si="1374">-($F$3*$F$2)/$B$8*Y124</f>
        <v>-2199541006.2079406</v>
      </c>
      <c r="BM188" s="3">
        <f t="shared" ref="BM188" si="1375">-($F$3*$F$2)/$B$8*Z124</f>
        <v>-2203565858.7132401</v>
      </c>
      <c r="BN188" s="3">
        <f t="shared" ref="BN188" si="1376">-($F$3*$F$2)/$B$8*AA124</f>
        <v>-2207750939.5078974</v>
      </c>
      <c r="BO188" s="3">
        <f t="shared" ref="BO188" si="1377">-($F$3*$F$2)/$B$8*AB124</f>
        <v>-2212092544.5552282</v>
      </c>
      <c r="BP188" s="3">
        <f t="shared" ref="BP188" si="1378">-($F$3*$F$2)/$B$8*AC124</f>
        <v>-2216582752.2798653</v>
      </c>
      <c r="BQ188" s="3">
        <f t="shared" ref="BQ188" si="1379">-($F$3*$F$2)/$B$8*AD124</f>
        <v>-2221189925.6314464</v>
      </c>
      <c r="BR188" s="3">
        <f t="shared" ref="BR188" si="1380">-($F$3*$F$2)/$B$8*AE124</f>
        <v>-2225871067.2717643</v>
      </c>
      <c r="BS188" s="7"/>
      <c r="BT188" s="7"/>
      <c r="BU188" s="3">
        <f>$R$3</f>
        <v>650</v>
      </c>
      <c r="BV188" s="3">
        <f>$R$3</f>
        <v>650</v>
      </c>
      <c r="BW188" s="3">
        <f>$R$3</f>
        <v>650</v>
      </c>
      <c r="BX188" s="3">
        <f>$R$3</f>
        <v>650</v>
      </c>
      <c r="BY188" s="5">
        <v>5</v>
      </c>
      <c r="BZ188" s="6">
        <f t="shared" si="1110"/>
        <v>3.7037037037037035E-2</v>
      </c>
      <c r="CC188" s="94"/>
      <c r="CD188" s="95"/>
      <c r="CE188" s="5">
        <v>5</v>
      </c>
      <c r="CF188" s="6">
        <f t="shared" si="1111"/>
        <v>3.7037037037037035E-2</v>
      </c>
      <c r="CG188" s="3">
        <f>$R$2</f>
        <v>600</v>
      </c>
      <c r="CH188" s="3">
        <f>$R$2</f>
        <v>600</v>
      </c>
      <c r="CI188" s="3">
        <f>$R$2</f>
        <v>600</v>
      </c>
      <c r="CJ188" s="3">
        <f>$R$2</f>
        <v>600</v>
      </c>
      <c r="CK188" s="3">
        <v>0</v>
      </c>
      <c r="CL188" s="3">
        <v>0</v>
      </c>
      <c r="CM188" s="3">
        <f t="shared" ref="CM188" si="1381">$O$2/($O$3-$O$4*CM187)</f>
        <v>0.11511132164850782</v>
      </c>
      <c r="CN188" s="3">
        <f t="shared" ref="CN188" si="1382">$O$2/($O$3-$O$4*CN187)</f>
        <v>0.11511132164850782</v>
      </c>
      <c r="CO188" s="3">
        <f t="shared" ref="CO188" si="1383">$O$2/($O$3-$O$4*CO187)</f>
        <v>0.11665710012935292</v>
      </c>
      <c r="CP188" s="3">
        <f t="shared" ref="CP188" si="1384">$O$2/($O$3-$O$4*CP187)</f>
        <v>0.1166781402357549</v>
      </c>
      <c r="CQ188" s="3">
        <f t="shared" ref="CQ188" si="1385">$O$2/($O$3-$O$4*CQ187)</f>
        <v>0.11667842667201472</v>
      </c>
      <c r="CR188" s="3">
        <f t="shared" ref="CR188" si="1386">$O$2/($O$3-$O$4*CR187)</f>
        <v>0.1166784306246039</v>
      </c>
      <c r="CS188" s="3">
        <f t="shared" ref="CS188" si="1387">$O$2/($O$3-$O$4*CS187)</f>
        <v>0.11667843062533644</v>
      </c>
      <c r="CT188" s="3">
        <f t="shared" ref="CT188" si="1388">$O$2/($O$3-$O$4*CT187)</f>
        <v>0.11667843062533659</v>
      </c>
      <c r="CU188" s="3">
        <f t="shared" ref="CU188" si="1389">$O$2/($O$3-$O$4*CU187)</f>
        <v>0.11667843062533659</v>
      </c>
      <c r="CV188" s="3">
        <f t="shared" ref="CV188" si="1390">$O$2/($O$3-$O$4*CV187)</f>
        <v>0.11667843062533659</v>
      </c>
      <c r="CW188" s="3">
        <f t="shared" ref="CW188" si="1391">$O$2/($O$3-$O$4*CW187)</f>
        <v>0.11667843062533659</v>
      </c>
      <c r="CX188" s="3">
        <f t="shared" ref="CX188" si="1392">$O$2/($O$3-$O$4*CX187)</f>
        <v>0.11667843062533659</v>
      </c>
      <c r="CY188" s="3">
        <f t="shared" ref="CY188" si="1393">$O$2/($O$3-$O$4*CY187)</f>
        <v>0.11667843062533644</v>
      </c>
      <c r="CZ188" s="3">
        <f t="shared" ref="CZ188" si="1394">$O$2/($O$3-$O$4*CZ187)</f>
        <v>0.1166784306246039</v>
      </c>
      <c r="DA188" s="3">
        <f t="shared" ref="DA188" si="1395">$O$2/($O$3-$O$4*DA187)</f>
        <v>0.11667842667201472</v>
      </c>
      <c r="DB188" s="3">
        <f t="shared" ref="DB188" si="1396">$O$2/($O$3-$O$4*DB187)</f>
        <v>0.1166781402357549</v>
      </c>
      <c r="DC188" s="3">
        <f t="shared" ref="DC188" si="1397">$O$2/($O$3-$O$4*DC187)</f>
        <v>0.11665710012935292</v>
      </c>
      <c r="DD188" s="3">
        <f t="shared" ref="DD188" si="1398">$O$2/($O$3-$O$4*DD187)</f>
        <v>0.11511132164850782</v>
      </c>
      <c r="DE188" s="3">
        <f t="shared" ref="DE188" si="1399">$O$2/($O$3-$O$4*DE187)</f>
        <v>0.11511132164850782</v>
      </c>
      <c r="DF188" s="3">
        <v>0</v>
      </c>
      <c r="DG188" s="3">
        <v>0</v>
      </c>
      <c r="DH188" s="3">
        <f>$R$3</f>
        <v>650</v>
      </c>
      <c r="DI188" s="3">
        <f>$R$3</f>
        <v>650</v>
      </c>
      <c r="DJ188" s="3">
        <f>$R$3</f>
        <v>650</v>
      </c>
      <c r="DK188" s="3">
        <f>$R$3</f>
        <v>650</v>
      </c>
      <c r="DL188" s="5">
        <v>5</v>
      </c>
      <c r="DM188" s="6">
        <f t="shared" si="1112"/>
        <v>3.7037037037037035E-2</v>
      </c>
      <c r="DQ188" s="94"/>
      <c r="DR188" s="95"/>
      <c r="DS188" s="5">
        <v>5</v>
      </c>
      <c r="DT188" s="6">
        <f t="shared" si="1113"/>
        <v>3.7037037037037035E-2</v>
      </c>
      <c r="DU188" s="3">
        <f>$R$2</f>
        <v>600</v>
      </c>
      <c r="DV188" s="3">
        <f>$R$2</f>
        <v>600</v>
      </c>
      <c r="DW188" s="3">
        <f>$R$2</f>
        <v>600</v>
      </c>
      <c r="DX188" s="3">
        <f>$R$2</f>
        <v>600</v>
      </c>
      <c r="DY188" s="3">
        <f t="shared" ref="DX188:DY189" si="1400">K188</f>
        <v>602.18137769003545</v>
      </c>
      <c r="DZ188" s="3">
        <f t="shared" ref="DZ188" si="1401">L188</f>
        <v>602.45626620796963</v>
      </c>
      <c r="EA188" s="3">
        <f t="shared" ref="EA188" si="1402">(EA187*$O$4-AZ188)/($O$3-$O$4*CM187)</f>
        <v>533.62501656028917</v>
      </c>
      <c r="EB188" s="3">
        <f t="shared" ref="EB188" si="1403">(EB187*$O$4-BA188)/($O$3-$O$4*CN187)</f>
        <v>534.08749055398187</v>
      </c>
      <c r="EC188" s="3">
        <f t="shared" ref="EC188" si="1404">(EC187*$O$4-BB188)/($O$3-$O$4*CO187)</f>
        <v>533.7520704037247</v>
      </c>
      <c r="ED188" s="3">
        <f t="shared" ref="ED188" si="1405">(ED187*$O$4-BC188)/($O$3-$O$4*CP187)</f>
        <v>534.38623866016565</v>
      </c>
      <c r="EE188" s="3">
        <f t="shared" ref="EE188" si="1406">(EE187*$O$4-BD188)/($O$3-$O$4*CQ187)</f>
        <v>535.0509785905258</v>
      </c>
      <c r="EF188" s="3">
        <f t="shared" ref="EF188" si="1407">(EF187*$O$4-BE188)/($O$3-$O$4*CR187)</f>
        <v>535.74775377358958</v>
      </c>
      <c r="EG188" s="3">
        <f t="shared" ref="EG188" si="1408">(EG187*$O$4-BF188)/($O$3-$O$4*CS187)</f>
        <v>536.47775035289635</v>
      </c>
      <c r="EH188" s="3">
        <f t="shared" ref="EH188" si="1409">(EH187*$O$4-BG188)/($O$3-$O$4*CT187)</f>
        <v>537.2426533267037</v>
      </c>
      <c r="EI188" s="3">
        <f t="shared" ref="EI188" si="1410">(EI187*$O$4-BH188)/($O$3-$O$4*CU187)</f>
        <v>538.04382727372354</v>
      </c>
      <c r="EJ188" s="3">
        <f t="shared" ref="EJ188" si="1411">(EJ187*$O$4-BI188)/($O$3-$O$4*CV187)</f>
        <v>538.88252113413239</v>
      </c>
      <c r="EK188" s="3">
        <f t="shared" ref="EK188" si="1412">(EK187*$O$4-BJ188)/($O$3-$O$4*CW187)</f>
        <v>539.75979700775986</v>
      </c>
      <c r="EL188" s="3">
        <f t="shared" ref="EL188" si="1413">(EL187*$O$4-BK188)/($O$3-$O$4*CX187)</f>
        <v>540.67650036678845</v>
      </c>
      <c r="EM188" s="3">
        <f t="shared" ref="EM188" si="1414">(EM187*$O$4-BL188)/($O$3-$O$4*CY187)</f>
        <v>541.63325113972314</v>
      </c>
      <c r="EN188" s="3">
        <f t="shared" ref="EN188" si="1415">(EN187*$O$4-BM188)/($O$3-$O$4*CZ187)</f>
        <v>542.63044035811561</v>
      </c>
      <c r="EO188" s="3">
        <f t="shared" ref="EO188" si="1416">(EO187*$O$4-BN188)/($O$3-$O$4*DA187)</f>
        <v>543.66828371127622</v>
      </c>
      <c r="EP188" s="3">
        <f t="shared" ref="EP188" si="1417">(EP187*$O$4-BO188)/($O$3-$O$4*DB187)</f>
        <v>544.74686669567404</v>
      </c>
      <c r="EQ188" s="3">
        <f t="shared" ref="EQ188" si="1418">(EQ187*$O$4-BP188)/($O$3-$O$4*DC187)</f>
        <v>545.88333552861627</v>
      </c>
      <c r="ER188" s="3">
        <f t="shared" ref="ER188" si="1419">(ER187*$O$4-BQ188)/($O$3-$O$4*DD187)</f>
        <v>547.99498615881942</v>
      </c>
      <c r="ES188" s="3">
        <f t="shared" ref="ES188" si="1420">(ES187*$O$4-BR188)/($O$3-$O$4*DE187)</f>
        <v>549.14124119792643</v>
      </c>
      <c r="ET188" s="3">
        <f t="shared" ref="ET188" si="1421">AF188</f>
        <v>621.79359790605508</v>
      </c>
      <c r="EU188" s="3">
        <f t="shared" ref="EU188:EW191" si="1422">AG188</f>
        <v>622.93256311484265</v>
      </c>
      <c r="EV188" s="3">
        <f>$R$3</f>
        <v>650</v>
      </c>
      <c r="EW188" s="3">
        <f>$R$3</f>
        <v>650</v>
      </c>
      <c r="EX188" s="3">
        <f>$R$3</f>
        <v>650</v>
      </c>
      <c r="EY188" s="3">
        <f>$R$3</f>
        <v>650</v>
      </c>
      <c r="EZ188" s="5">
        <v>5</v>
      </c>
      <c r="FA188" s="6">
        <f t="shared" si="1114"/>
        <v>3.7037037037037035E-2</v>
      </c>
    </row>
    <row r="189" spans="3:157" ht="15" customHeight="1" x14ac:dyDescent="0.3">
      <c r="C189" s="94"/>
      <c r="D189" s="95"/>
      <c r="E189" s="5">
        <v>4</v>
      </c>
      <c r="F189" s="6">
        <f t="shared" si="1107"/>
        <v>2.7777777777777776E-2</v>
      </c>
      <c r="G189" s="3">
        <f t="shared" ref="G189:I190" si="1423">$R$2</f>
        <v>600</v>
      </c>
      <c r="H189" s="3">
        <f t="shared" si="1423"/>
        <v>600</v>
      </c>
      <c r="I189" s="3">
        <f t="shared" si="1423"/>
        <v>600</v>
      </c>
      <c r="J189" s="3">
        <f t="shared" ref="J189" si="1424">($F$5*$B$5*J61+$F$4*J126)/($F$4+$F$5*$B$5)</f>
        <v>601.96772594646291</v>
      </c>
      <c r="K189" s="3">
        <f t="shared" ref="K189" si="1425">CK189*K190+DY189</f>
        <v>602.28891080132189</v>
      </c>
      <c r="L189" s="3">
        <f t="shared" ref="L189" si="1426">CL189*L190+DZ189</f>
        <v>602.57546824189603</v>
      </c>
      <c r="M189" s="3">
        <f t="shared" ref="M189" si="1427">CM189*M190+EA189</f>
        <v>602.97078242239547</v>
      </c>
      <c r="N189" s="3">
        <f t="shared" ref="N189" si="1428">CN189*N190+EB189</f>
        <v>603.42096707539497</v>
      </c>
      <c r="O189" s="3">
        <f t="shared" ref="O189" si="1429">CO189*O190+EC189</f>
        <v>603.95009296159208</v>
      </c>
      <c r="P189" s="3">
        <f t="shared" ref="P189" si="1430">CP189*P190+ED189</f>
        <v>604.54205328298929</v>
      </c>
      <c r="Q189" s="3">
        <f t="shared" ref="Q189" si="1431">CQ189*Q190+EE189</f>
        <v>605.18770495491935</v>
      </c>
      <c r="R189" s="3">
        <f t="shared" ref="R189" si="1432">CR189*R190+EF189</f>
        <v>605.88565363950897</v>
      </c>
      <c r="S189" s="3">
        <f t="shared" si="1130"/>
        <v>606.63392390524871</v>
      </c>
      <c r="T189" s="3">
        <f t="shared" si="1130"/>
        <v>607.43115334613321</v>
      </c>
      <c r="U189" s="3">
        <f t="shared" si="1071"/>
        <v>608.27625673198463</v>
      </c>
      <c r="V189" s="3">
        <f t="shared" si="1072"/>
        <v>609.16826968553914</v>
      </c>
      <c r="W189" s="3">
        <f t="shared" si="1073"/>
        <v>610.10619430068846</v>
      </c>
      <c r="X189" s="3">
        <f t="shared" ref="X189" si="1433">CX189*X190+EL189</f>
        <v>611.08887105855285</v>
      </c>
      <c r="Y189" s="3">
        <f t="shared" ref="Y189" si="1434">CY189*Y190+EM189</f>
        <v>612.11486126561442</v>
      </c>
      <c r="Z189" s="3">
        <f t="shared" ref="Z189" si="1435">CZ189*Z190+EN189</f>
        <v>613.18232423529412</v>
      </c>
      <c r="AA189" s="3">
        <f t="shared" ref="AA189" si="1436">DA189*AA190+EO189</f>
        <v>614.28887914635368</v>
      </c>
      <c r="AB189" s="3">
        <f t="shared" ref="AB189" si="1437">DB189*AB190+EP189</f>
        <v>615.43140017176984</v>
      </c>
      <c r="AC189" s="3">
        <f t="shared" ref="AC189" si="1438">DC189*AC190+EQ189</f>
        <v>616.60634048989198</v>
      </c>
      <c r="AD189" s="3">
        <f t="shared" ref="AD189" si="1439">DD189*AD190+ER189</f>
        <v>617.80647371841917</v>
      </c>
      <c r="AE189" s="3">
        <f t="shared" ref="AE189" si="1440">DE189*AE190+ES189</f>
        <v>619.01919551556193</v>
      </c>
      <c r="AF189" s="3">
        <f t="shared" ref="AF189" si="1441">DF189*AF190+ET189</f>
        <v>620.25290756806692</v>
      </c>
      <c r="AG189" s="3">
        <f t="shared" ref="AG189" si="1442">DG189*AG190+EU189</f>
        <v>621.45001565427049</v>
      </c>
      <c r="AH189" s="3">
        <f t="shared" ref="AH189" si="1443">($F$5*$B$5*AH61+$F$4*AH126)/($F$4+$F$5*$B$5)</f>
        <v>623.25220813824274</v>
      </c>
      <c r="AI189" s="3">
        <f t="shared" ref="AI189:AK190" si="1444">$R$3</f>
        <v>650</v>
      </c>
      <c r="AJ189" s="3">
        <f t="shared" si="1444"/>
        <v>650</v>
      </c>
      <c r="AK189" s="3">
        <f t="shared" si="1444"/>
        <v>650</v>
      </c>
      <c r="AL189" s="5">
        <v>4</v>
      </c>
      <c r="AM189" s="6">
        <f t="shared" si="1108"/>
        <v>2.7777777777777776E-2</v>
      </c>
      <c r="AP189" s="102"/>
      <c r="AQ189" s="101"/>
      <c r="AR189" s="5">
        <v>4</v>
      </c>
      <c r="AS189" s="6">
        <f t="shared" si="1109"/>
        <v>2.7777777777777776E-2</v>
      </c>
      <c r="AT189" s="3">
        <f t="shared" ref="AT189:AV190" si="1445">$R$2</f>
        <v>600</v>
      </c>
      <c r="AU189" s="3">
        <f t="shared" si="1445"/>
        <v>600</v>
      </c>
      <c r="AV189" s="3">
        <f t="shared" si="1445"/>
        <v>600</v>
      </c>
      <c r="AW189" s="7"/>
      <c r="AX189" s="3">
        <f t="shared" ref="AX189" si="1446">-($F$3*$F$2)/$B$8*K125</f>
        <v>-2161080509.7113743</v>
      </c>
      <c r="AY189" s="3">
        <f t="shared" ref="AY189" si="1447">-($F$3*$F$2)/$B$8*L125</f>
        <v>-2162123986.5254526</v>
      </c>
      <c r="AZ189" s="3">
        <f t="shared" ref="AZ189" si="1448">-($F$3*$F$2)/$B$8*M125</f>
        <v>-2163473289.5890751</v>
      </c>
      <c r="BA189" s="3">
        <f t="shared" ref="BA189" si="1449">-($F$3*$F$2)/$B$8*N125</f>
        <v>-2165078032.4702387</v>
      </c>
      <c r="BB189" s="3">
        <f t="shared" ref="BB189" si="1450">-($F$3*$F$2)/$B$8*O125</f>
        <v>-2166937846.5211873</v>
      </c>
      <c r="BC189" s="3">
        <f t="shared" ref="BC189" si="1451">-($F$3*$F$2)/$B$8*P125</f>
        <v>-2169026942.0268674</v>
      </c>
      <c r="BD189" s="3">
        <f t="shared" ref="BD189" si="1452">-($F$3*$F$2)/$B$8*Q125</f>
        <v>-2171321947.8258834</v>
      </c>
      <c r="BE189" s="3">
        <f t="shared" si="1077"/>
        <v>-2173810156.3544087</v>
      </c>
      <c r="BF189" s="3">
        <f t="shared" si="1077"/>
        <v>-2176482831.95541</v>
      </c>
      <c r="BG189" s="3">
        <f t="shared" si="1077"/>
        <v>-2179333779.9852991</v>
      </c>
      <c r="BH189" s="3">
        <f t="shared" si="1077"/>
        <v>-2182358208.2117028</v>
      </c>
      <c r="BI189" s="3">
        <f t="shared" si="1078"/>
        <v>-2185551941.1488657</v>
      </c>
      <c r="BJ189" s="3">
        <f t="shared" si="1079"/>
        <v>-2188910793.2170515</v>
      </c>
      <c r="BK189" s="3">
        <f t="shared" si="1134"/>
        <v>-2192430038.2684617</v>
      </c>
      <c r="BL189" s="3">
        <f t="shared" si="1157"/>
        <v>-2196103914.2814493</v>
      </c>
      <c r="BM189" s="3">
        <f t="shared" ref="BM189" si="1453">-($F$3*$F$2)/$B$8*Z125</f>
        <v>-2199925099.3197017</v>
      </c>
      <c r="BN189" s="3">
        <f t="shared" ref="BN189" si="1454">-($F$3*$F$2)/$B$8*AA125</f>
        <v>-2203884085.8317308</v>
      </c>
      <c r="BO189" s="3">
        <f t="shared" ref="BO189" si="1455">-($F$3*$F$2)/$B$8*AB125</f>
        <v>-2207968340.0197511</v>
      </c>
      <c r="BP189" s="3">
        <f t="shared" ref="BP189" si="1456">-($F$3*$F$2)/$B$8*AC125</f>
        <v>-2212161151.7808251</v>
      </c>
      <c r="BQ189" s="3">
        <f t="shared" ref="BQ189" si="1457">-($F$3*$F$2)/$B$8*AD125</f>
        <v>-2216438185.5362754</v>
      </c>
      <c r="BR189" s="3">
        <f t="shared" ref="BR189" si="1458">-($F$3*$F$2)/$B$8*AE125</f>
        <v>-2220768785.8843756</v>
      </c>
      <c r="BS189" s="3">
        <f t="shared" ref="BS189" si="1459">-($F$3*$F$2)/$B$8*AF125</f>
        <v>-2225128497.6513853</v>
      </c>
      <c r="BT189" s="3">
        <f t="shared" ref="BT189" si="1460">-($F$3*$F$2)/$B$8*AG125</f>
        <v>-2229452009.5839424</v>
      </c>
      <c r="BU189" s="7"/>
      <c r="BV189" s="3">
        <f t="shared" ref="BV189:BX190" si="1461">$R$3</f>
        <v>650</v>
      </c>
      <c r="BW189" s="3">
        <f t="shared" si="1461"/>
        <v>650</v>
      </c>
      <c r="BX189" s="3">
        <f t="shared" si="1461"/>
        <v>650</v>
      </c>
      <c r="BY189" s="5">
        <v>4</v>
      </c>
      <c r="BZ189" s="6">
        <f t="shared" si="1110"/>
        <v>2.7777777777777776E-2</v>
      </c>
      <c r="CC189" s="94"/>
      <c r="CD189" s="95"/>
      <c r="CE189" s="5">
        <v>4</v>
      </c>
      <c r="CF189" s="6">
        <f t="shared" si="1111"/>
        <v>2.7777777777777776E-2</v>
      </c>
      <c r="CG189" s="3">
        <f t="shared" ref="CG189:CI190" si="1462">$R$2</f>
        <v>600</v>
      </c>
      <c r="CH189" s="3">
        <f t="shared" si="1462"/>
        <v>600</v>
      </c>
      <c r="CI189" s="3">
        <f t="shared" si="1462"/>
        <v>600</v>
      </c>
      <c r="CJ189" s="3">
        <v>0</v>
      </c>
      <c r="CK189" s="3">
        <f t="shared" ref="CK189" si="1463">$O$2/($O$3-$O$4*CK188)</f>
        <v>0.11511132164850782</v>
      </c>
      <c r="CL189" s="3">
        <f t="shared" ref="CL189" si="1464">$O$2/($O$3-$O$4*CL188)</f>
        <v>0.11511132164850782</v>
      </c>
      <c r="CM189" s="3">
        <f t="shared" ref="CM189" si="1465">$O$2/($O$3-$O$4*CM188)</f>
        <v>0.11665710012935292</v>
      </c>
      <c r="CN189" s="3">
        <f t="shared" ref="CN189" si="1466">$O$2/($O$3-$O$4*CN188)</f>
        <v>0.11665710012935292</v>
      </c>
      <c r="CO189" s="3">
        <f t="shared" ref="CO189" si="1467">$O$2/($O$3-$O$4*CO188)</f>
        <v>0.1166781402357549</v>
      </c>
      <c r="CP189" s="3">
        <f t="shared" ref="CP189" si="1468">$O$2/($O$3-$O$4*CP188)</f>
        <v>0.11667842667201472</v>
      </c>
      <c r="CQ189" s="3">
        <f t="shared" ref="CQ189" si="1469">$O$2/($O$3-$O$4*CQ188)</f>
        <v>0.11667843057151663</v>
      </c>
      <c r="CR189" s="3">
        <f t="shared" ref="CR189" si="1470">$O$2/($O$3-$O$4*CR188)</f>
        <v>0.11667843062532661</v>
      </c>
      <c r="CS189" s="3">
        <f t="shared" ref="CS189" si="1471">$O$2/($O$3-$O$4*CS188)</f>
        <v>0.11667843062533659</v>
      </c>
      <c r="CT189" s="3">
        <f t="shared" ref="CT189" si="1472">$O$2/($O$3-$O$4*CT188)</f>
        <v>0.11667843062533659</v>
      </c>
      <c r="CU189" s="3">
        <f t="shared" si="1090"/>
        <v>0.11667843062533659</v>
      </c>
      <c r="CV189" s="3">
        <f t="shared" si="1091"/>
        <v>0.11667843062533659</v>
      </c>
      <c r="CW189" s="3">
        <f t="shared" si="1092"/>
        <v>0.11667843062533659</v>
      </c>
      <c r="CX189" s="3">
        <f t="shared" ref="CX189" si="1473">$O$2/($O$3-$O$4*CX188)</f>
        <v>0.11667843062533659</v>
      </c>
      <c r="CY189" s="3">
        <f t="shared" ref="CY189" si="1474">$O$2/($O$3-$O$4*CY188)</f>
        <v>0.11667843062533659</v>
      </c>
      <c r="CZ189" s="3">
        <f t="shared" ref="CZ189" si="1475">$O$2/($O$3-$O$4*CZ188)</f>
        <v>0.11667843062532661</v>
      </c>
      <c r="DA189" s="3">
        <f t="shared" ref="DA189" si="1476">$O$2/($O$3-$O$4*DA188)</f>
        <v>0.11667843057151663</v>
      </c>
      <c r="DB189" s="3">
        <f t="shared" ref="DB189" si="1477">$O$2/($O$3-$O$4*DB188)</f>
        <v>0.11667842667201472</v>
      </c>
      <c r="DC189" s="3">
        <f t="shared" ref="DC189" si="1478">$O$2/($O$3-$O$4*DC188)</f>
        <v>0.1166781402357549</v>
      </c>
      <c r="DD189" s="3">
        <f t="shared" ref="DD189" si="1479">$O$2/($O$3-$O$4*DD188)</f>
        <v>0.11665710012935292</v>
      </c>
      <c r="DE189" s="3">
        <f t="shared" ref="DE189" si="1480">$O$2/($O$3-$O$4*DE188)</f>
        <v>0.11665710012935292</v>
      </c>
      <c r="DF189" s="3">
        <f t="shared" ref="DF189" si="1481">$O$2/($O$3-$O$4*DF188)</f>
        <v>0.11511132164850782</v>
      </c>
      <c r="DG189" s="3">
        <f t="shared" ref="DG189:DG190" si="1482">$O$2/($O$3-$O$4*DG188)</f>
        <v>0.11511132164850782</v>
      </c>
      <c r="DH189" s="3">
        <v>0</v>
      </c>
      <c r="DI189" s="3">
        <f t="shared" ref="DI189:DK190" si="1483">$R$3</f>
        <v>650</v>
      </c>
      <c r="DJ189" s="3">
        <f t="shared" si="1483"/>
        <v>650</v>
      </c>
      <c r="DK189" s="3">
        <f t="shared" si="1483"/>
        <v>650</v>
      </c>
      <c r="DL189" s="5">
        <v>4</v>
      </c>
      <c r="DM189" s="6">
        <f t="shared" si="1112"/>
        <v>2.7777777777777776E-2</v>
      </c>
      <c r="DQ189" s="94"/>
      <c r="DR189" s="95"/>
      <c r="DS189" s="5">
        <v>4</v>
      </c>
      <c r="DT189" s="6">
        <f t="shared" si="1113"/>
        <v>2.7777777777777776E-2</v>
      </c>
      <c r="DU189" s="3">
        <f t="shared" ref="DU189:DW190" si="1484">$R$2</f>
        <v>600</v>
      </c>
      <c r="DV189" s="3">
        <f t="shared" si="1484"/>
        <v>600</v>
      </c>
      <c r="DW189" s="3">
        <f t="shared" si="1484"/>
        <v>600</v>
      </c>
      <c r="DX189" s="3">
        <f t="shared" si="1400"/>
        <v>601.96772594646291</v>
      </c>
      <c r="DY189" s="3">
        <f t="shared" ref="DY189" si="1485">(DY188*$O$4-AX189)/($O$3-$O$4*CK188)</f>
        <v>532.96082691910055</v>
      </c>
      <c r="DZ189" s="3">
        <f t="shared" ref="DZ189" si="1486">(DZ188*$O$4-AY189)/($O$3-$O$4*CL188)</f>
        <v>533.21633949450029</v>
      </c>
      <c r="EA189" s="3">
        <f t="shared" ref="EA189" si="1487">(EA188*$O$4-AZ189)/($O$3-$O$4*CM188)</f>
        <v>532.64037913110201</v>
      </c>
      <c r="EB189" s="3">
        <f t="shared" ref="EB189" si="1488">(EB188*$O$4-BA189)/($O$3-$O$4*CN188)</f>
        <v>533.04323829873806</v>
      </c>
      <c r="EC189" s="3">
        <f t="shared" ref="EC189" si="1489">(EC188*$O$4-BB189)/($O$3-$O$4*CO188)</f>
        <v>533.50468061669358</v>
      </c>
      <c r="ED189" s="3">
        <f t="shared" ref="ED189" si="1490">(ED188*$O$4-BC189)/($O$3-$O$4*CP188)</f>
        <v>534.03428490141994</v>
      </c>
      <c r="EE189" s="3">
        <f t="shared" ref="EE189" si="1491">(EE188*$O$4-BD189)/($O$3-$O$4*CQ188)</f>
        <v>534.61094224767965</v>
      </c>
      <c r="EF189" s="3">
        <f t="shared" ref="EF189" si="1492">(EF188*$O$4-BE189)/($O$3-$O$4*CR188)</f>
        <v>535.23333424759926</v>
      </c>
      <c r="EG189" s="3">
        <f t="shared" ref="EG189" si="1493">(EG188*$O$4-BF189)/($O$3-$O$4*CS188)</f>
        <v>535.89971697156489</v>
      </c>
      <c r="EH189" s="3">
        <f t="shared" ref="EH189" si="1494">(EH188*$O$4-BG189)/($O$3-$O$4*CT188)</f>
        <v>536.60894016364159</v>
      </c>
      <c r="EI189" s="3">
        <f t="shared" si="1125"/>
        <v>537.36012090788165</v>
      </c>
      <c r="EJ189" s="3">
        <f t="shared" si="1126"/>
        <v>538.15249691529584</v>
      </c>
      <c r="EK189" s="3">
        <f t="shared" si="1127"/>
        <v>538.98528190158993</v>
      </c>
      <c r="EL189" s="3">
        <f t="shared" ref="EL189" si="1495">(EL188*$O$4-BK189)/($O$3-$O$4*CX188)</f>
        <v>539.8575467531806</v>
      </c>
      <c r="EM189" s="3">
        <f t="shared" ref="EM189" si="1496">(EM188*$O$4-BL189)/($O$3-$O$4*CY188)</f>
        <v>540.76811077623961</v>
      </c>
      <c r="EN189" s="3">
        <f t="shared" ref="EN189" si="1497">(EN188*$O$4-BM189)/($O$3-$O$4*CZ188)</f>
        <v>541.71542734594016</v>
      </c>
      <c r="EO189" s="3">
        <f t="shared" ref="EO189" si="1498">(EO188*$O$4-BN189)/($O$3-$O$4*DA188)</f>
        <v>542.6974538383738</v>
      </c>
      <c r="EP189" s="3">
        <f t="shared" ref="EP189" si="1499">(EP188*$O$4-BO189)/($O$3-$O$4*DB188)</f>
        <v>543.71145692144273</v>
      </c>
      <c r="EQ189" s="3">
        <f t="shared" ref="EQ189" si="1500">(EQ188*$O$4-BP189)/($O$3-$O$4*DC188)</f>
        <v>544.75450208660448</v>
      </c>
      <c r="ER189" s="3">
        <f t="shared" ref="ER189" si="1501">(ER188*$O$4-BQ189)/($O$3-$O$4*DD188)</f>
        <v>545.83253396585678</v>
      </c>
      <c r="ES189" s="3">
        <f t="shared" ref="ES189" si="1502">(ES188*$O$4-BR189)/($O$3-$O$4*DE188)</f>
        <v>546.90782563305368</v>
      </c>
      <c r="ET189" s="3">
        <f t="shared" ref="ET189" si="1503">(ET188*$O$4-BS189)/($O$3-$O$4*DF188)</f>
        <v>548.95941073120514</v>
      </c>
      <c r="EU189" s="3">
        <f t="shared" ref="EU189" si="1504">(EU188*$O$4-BT189)/($O$3-$O$4*DG188)</f>
        <v>550.01809421487701</v>
      </c>
      <c r="EV189" s="3">
        <f t="shared" si="1422"/>
        <v>623.25220813824274</v>
      </c>
      <c r="EW189" s="3">
        <f t="shared" ref="EW189:EY190" si="1505">$R$3</f>
        <v>650</v>
      </c>
      <c r="EX189" s="3">
        <f t="shared" si="1505"/>
        <v>650</v>
      </c>
      <c r="EY189" s="3">
        <f t="shared" si="1505"/>
        <v>650</v>
      </c>
      <c r="EZ189" s="5">
        <v>4</v>
      </c>
      <c r="FA189" s="6">
        <f t="shared" si="1114"/>
        <v>2.7777777777777776E-2</v>
      </c>
    </row>
    <row r="190" spans="3:157" ht="15" customHeight="1" x14ac:dyDescent="0.3">
      <c r="C190" s="94"/>
      <c r="D190" s="95"/>
      <c r="E190" s="5">
        <v>3</v>
      </c>
      <c r="F190" s="6">
        <f t="shared" si="1107"/>
        <v>1.8518518518518517E-2</v>
      </c>
      <c r="G190" s="3">
        <f t="shared" si="1423"/>
        <v>600</v>
      </c>
      <c r="H190" s="3">
        <f t="shared" si="1423"/>
        <v>600</v>
      </c>
      <c r="I190" s="3">
        <f t="shared" si="1423"/>
        <v>600</v>
      </c>
      <c r="J190" s="3">
        <f t="shared" ref="J190" si="1506">CJ190*J191+DX190</f>
        <v>602.054887119613</v>
      </c>
      <c r="K190" s="3">
        <f t="shared" ref="K190" si="1507">CK190*K191+DY190</f>
        <v>602.26989742950354</v>
      </c>
      <c r="L190" s="3">
        <f t="shared" ref="L190" si="1508">CL190*L191+DZ190</f>
        <v>602.53959171091572</v>
      </c>
      <c r="M190" s="3">
        <f t="shared" ref="M190" si="1509">CM190*M191+EA190</f>
        <v>602.88146382268167</v>
      </c>
      <c r="N190" s="3">
        <f t="shared" ref="N190" si="1510">CN190*N191+EB190</f>
        <v>603.28714410541602</v>
      </c>
      <c r="O190" s="3">
        <f t="shared" ref="O190" si="1511">CO190*O191+EC190</f>
        <v>603.75844354871833</v>
      </c>
      <c r="P190" s="3">
        <f t="shared" ref="P190" si="1512">CP190*P191+ED190</f>
        <v>604.29138781385927</v>
      </c>
      <c r="Q190" s="3">
        <f t="shared" ref="Q190" si="1513">CQ190*Q191+EE190</f>
        <v>604.88268792731583</v>
      </c>
      <c r="R190" s="3">
        <f t="shared" ref="R190" si="1514">CR190*R191+EF190</f>
        <v>605.53025107773124</v>
      </c>
      <c r="S190" s="3">
        <f t="shared" si="1130"/>
        <v>606.23207352536951</v>
      </c>
      <c r="T190" s="3">
        <f t="shared" si="1130"/>
        <v>606.98633674553946</v>
      </c>
      <c r="U190" s="3">
        <f t="shared" si="1071"/>
        <v>607.7913067910564</v>
      </c>
      <c r="V190" s="3">
        <f t="shared" si="1072"/>
        <v>608.64525165135615</v>
      </c>
      <c r="W190" s="3">
        <f t="shared" si="1073"/>
        <v>609.54635760805877</v>
      </c>
      <c r="X190" s="3">
        <f t="shared" ref="X190" si="1515">CX190*X191+EL190</f>
        <v>610.49264995774126</v>
      </c>
      <c r="Y190" s="3">
        <f t="shared" ref="Y190" si="1516">CY190*Y191+EM190</f>
        <v>611.48191749745706</v>
      </c>
      <c r="Z190" s="3">
        <f t="shared" ref="Z190" si="1517">CZ190*Z191+EN190</f>
        <v>612.51163995208185</v>
      </c>
      <c r="AA190" s="3">
        <f t="shared" ref="AA190" si="1518">DA190*AA191+EO190</f>
        <v>613.57891906249802</v>
      </c>
      <c r="AB190" s="3">
        <f t="shared" ref="AB190" si="1519">DB190*AB191+EP190</f>
        <v>614.68041090349323</v>
      </c>
      <c r="AC190" s="3">
        <f t="shared" ref="AC190" si="1520">DC190*AC191+EQ190</f>
        <v>615.81233861035753</v>
      </c>
      <c r="AD190" s="3">
        <f t="shared" ref="AD190" si="1521">DD190*AD191+ER190</f>
        <v>616.97007445543818</v>
      </c>
      <c r="AE190" s="3">
        <f t="shared" ref="AE190" si="1522">DE190*AE191+ES190</f>
        <v>618.14814359819536</v>
      </c>
      <c r="AF190" s="3">
        <f t="shared" ref="AF190" si="1523">DF190*AF191+ET190</f>
        <v>619.34391696549471</v>
      </c>
      <c r="AG190" s="3">
        <f t="shared" ref="AG190" si="1524">DG190*AG191+EU190</f>
        <v>620.54644509695277</v>
      </c>
      <c r="AH190" s="3">
        <f t="shared" ref="AH190" si="1525">DH190*AH191+EV190</f>
        <v>621.83009172781624</v>
      </c>
      <c r="AI190" s="3">
        <f t="shared" si="1444"/>
        <v>650</v>
      </c>
      <c r="AJ190" s="3">
        <f t="shared" si="1444"/>
        <v>650</v>
      </c>
      <c r="AK190" s="3">
        <f t="shared" si="1444"/>
        <v>650</v>
      </c>
      <c r="AL190" s="5">
        <v>3</v>
      </c>
      <c r="AM190" s="6">
        <f t="shared" si="1108"/>
        <v>1.8518518518518517E-2</v>
      </c>
      <c r="AP190" s="102"/>
      <c r="AQ190" s="101"/>
      <c r="AR190" s="5">
        <v>3</v>
      </c>
      <c r="AS190" s="6">
        <f t="shared" si="1109"/>
        <v>1.8518518518518517E-2</v>
      </c>
      <c r="AT190" s="3">
        <f t="shared" si="1445"/>
        <v>600</v>
      </c>
      <c r="AU190" s="3">
        <f t="shared" si="1445"/>
        <v>600</v>
      </c>
      <c r="AV190" s="3">
        <f t="shared" si="1445"/>
        <v>600</v>
      </c>
      <c r="AW190" s="3">
        <f t="shared" ref="AW190:AW191" si="1526">-($F$3*$F$2)/$B$8*J126</f>
        <v>-2160269487.6927733</v>
      </c>
      <c r="AX190" s="3">
        <f t="shared" ref="AX190:AX191" si="1527">-($F$3*$F$2)/$B$8*K126</f>
        <v>-2160984069.7416358</v>
      </c>
      <c r="AY190" s="3">
        <f t="shared" ref="AY190:AY191" si="1528">-($F$3*$F$2)/$B$8*L126</f>
        <v>-2161942677.6241274</v>
      </c>
      <c r="AZ190" s="3">
        <f t="shared" ref="AZ190:AZ191" si="1529">-($F$3*$F$2)/$B$8*M126</f>
        <v>-2163147288.0577416</v>
      </c>
      <c r="BA190" s="3">
        <f t="shared" ref="BA190:BA191" si="1530">-($F$3*$F$2)/$B$8*N126</f>
        <v>-2164587825.0719275</v>
      </c>
      <c r="BB190" s="3">
        <f t="shared" ref="BB190:BB191" si="1531">-($F$3*$F$2)/$B$8*O126</f>
        <v>-2166259480.3034573</v>
      </c>
      <c r="BC190" s="3">
        <f t="shared" ref="BC190:BC191" si="1532">-($F$3*$F$2)/$B$8*P126</f>
        <v>-2168152870.6302991</v>
      </c>
      <c r="BD190" s="3">
        <f t="shared" ref="BD190:BD191" si="1533">-($F$3*$F$2)/$B$8*Q126</f>
        <v>-2170258273.2063823</v>
      </c>
      <c r="BE190" s="3">
        <f t="shared" ref="BE190:BE191" si="1534">-($F$3*$F$2)/$B$8*R126</f>
        <v>-2172567432.3789854</v>
      </c>
      <c r="BF190" s="3">
        <f t="shared" ref="BF190:BF191" si="1535">-($F$3*$F$2)/$B$8*S126</f>
        <v>-2175072906.4839773</v>
      </c>
      <c r="BG190" s="3">
        <f t="shared" ref="BG190:BG191" si="1536">-($F$3*$F$2)/$B$8*T126</f>
        <v>-2177767843.7598782</v>
      </c>
      <c r="BH190" s="3">
        <f t="shared" ref="BH190:BH191" si="1537">-($F$3*$F$2)/$B$8*U126</f>
        <v>-2180645692.8122129</v>
      </c>
      <c r="BI190" s="3">
        <f t="shared" ref="BI190:BI191" si="1538">-($F$3*$F$2)/$B$8*V126</f>
        <v>-2183699910.4017673</v>
      </c>
      <c r="BJ190" s="3">
        <f t="shared" ref="BJ190:BJ191" si="1539">-($F$3*$F$2)/$B$8*W126</f>
        <v>-2186923670.6595459</v>
      </c>
      <c r="BK190" s="3">
        <f t="shared" ref="BK190:BK191" si="1540">-($F$3*$F$2)/$B$8*X126</f>
        <v>-2190309584.1021543</v>
      </c>
      <c r="BL190" s="3">
        <f t="shared" ref="BL190:BL191" si="1541">-($F$3*$F$2)/$B$8*Y126</f>
        <v>-2193849429.5742865</v>
      </c>
      <c r="BM190" s="3">
        <f t="shared" ref="BM190:BM191" si="1542">-($F$3*$F$2)/$B$8*Z126</f>
        <v>-2197533901.5878978</v>
      </c>
      <c r="BN190" s="3">
        <f t="shared" ref="BN190:BN191" si="1543">-($F$3*$F$2)/$B$8*AA126</f>
        <v>-2201352379.5725284</v>
      </c>
      <c r="BO190" s="3">
        <f t="shared" ref="BO190:BO191" si="1544">-($F$3*$F$2)/$B$8*AB126</f>
        <v>-2205292733.0930786</v>
      </c>
      <c r="BP190" s="3">
        <f t="shared" ref="BP190:BP191" si="1545">-($F$3*$F$2)/$B$8*AC126</f>
        <v>-2209341204.0615454</v>
      </c>
      <c r="BQ190" s="3">
        <f t="shared" ref="BQ190:BQ191" si="1546">-($F$3*$F$2)/$B$8*AD126</f>
        <v>-2213482225.7738619</v>
      </c>
      <c r="BR190" s="3">
        <f t="shared" ref="BR190:BR191" si="1547">-($F$3*$F$2)/$B$8*AE126</f>
        <v>-2217699309.6184931</v>
      </c>
      <c r="BS190" s="3">
        <f t="shared" ref="BS190:BS191" si="1548">-($F$3*$F$2)/$B$8*AF126</f>
        <v>-2221977765.949369</v>
      </c>
      <c r="BT190" s="3">
        <f t="shared" ref="BT190:BT191" si="1549">-($F$3*$F$2)/$B$8*AG126</f>
        <v>-2226300187.3483133</v>
      </c>
      <c r="BU190" s="3">
        <f t="shared" ref="BU190:BU191" si="1550">-($F$3*$F$2)/$B$8*AH126</f>
        <v>-2230665382.0927696</v>
      </c>
      <c r="BV190" s="3">
        <f t="shared" si="1461"/>
        <v>650</v>
      </c>
      <c r="BW190" s="3">
        <f t="shared" si="1461"/>
        <v>650</v>
      </c>
      <c r="BX190" s="3">
        <f t="shared" si="1461"/>
        <v>650</v>
      </c>
      <c r="BY190" s="5">
        <v>3</v>
      </c>
      <c r="BZ190" s="6">
        <f t="shared" si="1110"/>
        <v>1.8518518518518517E-2</v>
      </c>
      <c r="CC190" s="94"/>
      <c r="CD190" s="95"/>
      <c r="CE190" s="5">
        <v>3</v>
      </c>
      <c r="CF190" s="6">
        <f t="shared" si="1111"/>
        <v>1.8518518518518517E-2</v>
      </c>
      <c r="CG190" s="3">
        <f t="shared" si="1462"/>
        <v>600</v>
      </c>
      <c r="CH190" s="3">
        <f t="shared" si="1462"/>
        <v>600</v>
      </c>
      <c r="CI190" s="3">
        <f t="shared" si="1462"/>
        <v>600</v>
      </c>
      <c r="CJ190" s="3">
        <f t="shared" ref="CJ190" si="1551">$O$2/($O$3-$O$4*CJ189)</f>
        <v>0.11511132164850782</v>
      </c>
      <c r="CK190" s="3">
        <f t="shared" ref="CK190" si="1552">$O$2/($O$3-$O$4*CK189)</f>
        <v>0.11665710012935292</v>
      </c>
      <c r="CL190" s="3">
        <f t="shared" ref="CL190" si="1553">$O$2/($O$3-$O$4*CL189)</f>
        <v>0.11665710012935292</v>
      </c>
      <c r="CM190" s="3">
        <f t="shared" ref="CM190" si="1554">$O$2/($O$3-$O$4*CM189)</f>
        <v>0.1166781402357549</v>
      </c>
      <c r="CN190" s="3">
        <f t="shared" ref="CN190" si="1555">$O$2/($O$3-$O$4*CN189)</f>
        <v>0.1166781402357549</v>
      </c>
      <c r="CO190" s="3">
        <f t="shared" ref="CO190" si="1556">$O$2/($O$3-$O$4*CO189)</f>
        <v>0.11667842667201472</v>
      </c>
      <c r="CP190" s="3">
        <f t="shared" ref="CP190" si="1557">$O$2/($O$3-$O$4*CP189)</f>
        <v>0.11667843057151663</v>
      </c>
      <c r="CQ190" s="3">
        <f t="shared" ref="CQ190" si="1558">$O$2/($O$3-$O$4*CQ189)</f>
        <v>0.1166784306246039</v>
      </c>
      <c r="CR190" s="3">
        <f t="shared" ref="CR190" si="1559">$O$2/($O$3-$O$4*CR189)</f>
        <v>0.11667843062533644</v>
      </c>
      <c r="CS190" s="3">
        <f t="shared" ref="CS190" si="1560">$O$2/($O$3-$O$4*CS189)</f>
        <v>0.11667843062533659</v>
      </c>
      <c r="CT190" s="3">
        <f t="shared" ref="CT190" si="1561">$O$2/($O$3-$O$4*CT189)</f>
        <v>0.11667843062533659</v>
      </c>
      <c r="CU190" s="3">
        <f t="shared" si="1090"/>
        <v>0.11667843062533659</v>
      </c>
      <c r="CV190" s="3">
        <f t="shared" si="1091"/>
        <v>0.11667843062533659</v>
      </c>
      <c r="CW190" s="3">
        <f t="shared" si="1092"/>
        <v>0.11667843062533659</v>
      </c>
      <c r="CX190" s="3">
        <f t="shared" ref="CX190" si="1562">$O$2/($O$3-$O$4*CX189)</f>
        <v>0.11667843062533659</v>
      </c>
      <c r="CY190" s="3">
        <f t="shared" ref="CY190" si="1563">$O$2/($O$3-$O$4*CY189)</f>
        <v>0.11667843062533659</v>
      </c>
      <c r="CZ190" s="3">
        <f t="shared" ref="CZ190" si="1564">$O$2/($O$3-$O$4*CZ189)</f>
        <v>0.11667843062533644</v>
      </c>
      <c r="DA190" s="3">
        <f t="shared" ref="DA190" si="1565">$O$2/($O$3-$O$4*DA189)</f>
        <v>0.1166784306246039</v>
      </c>
      <c r="DB190" s="3">
        <f t="shared" ref="DB190" si="1566">$O$2/($O$3-$O$4*DB189)</f>
        <v>0.11667843057151663</v>
      </c>
      <c r="DC190" s="3">
        <f t="shared" ref="DC190" si="1567">$O$2/($O$3-$O$4*DC189)</f>
        <v>0.11667842667201472</v>
      </c>
      <c r="DD190" s="3">
        <f t="shared" ref="DD190" si="1568">$O$2/($O$3-$O$4*DD189)</f>
        <v>0.1166781402357549</v>
      </c>
      <c r="DE190" s="3">
        <f t="shared" ref="DE190" si="1569">$O$2/($O$3-$O$4*DE189)</f>
        <v>0.1166781402357549</v>
      </c>
      <c r="DF190" s="3">
        <f t="shared" ref="DF190" si="1570">$O$2/($O$3-$O$4*DF189)</f>
        <v>0.11665710012935292</v>
      </c>
      <c r="DG190" s="3">
        <f t="shared" si="1482"/>
        <v>0.11665710012935292</v>
      </c>
      <c r="DH190" s="3">
        <f t="shared" ref="DH190" si="1571">$O$2/($O$3-$O$4*DH189)</f>
        <v>0.11511132164850782</v>
      </c>
      <c r="DI190" s="3">
        <f t="shared" si="1483"/>
        <v>650</v>
      </c>
      <c r="DJ190" s="3">
        <f t="shared" si="1483"/>
        <v>650</v>
      </c>
      <c r="DK190" s="3">
        <f t="shared" si="1483"/>
        <v>650</v>
      </c>
      <c r="DL190" s="5">
        <v>3</v>
      </c>
      <c r="DM190" s="6">
        <f t="shared" si="1112"/>
        <v>1.8518518518518517E-2</v>
      </c>
      <c r="DQ190" s="94"/>
      <c r="DR190" s="95"/>
      <c r="DS190" s="5">
        <v>3</v>
      </c>
      <c r="DT190" s="6">
        <f t="shared" si="1113"/>
        <v>1.8518518518518517E-2</v>
      </c>
      <c r="DU190" s="3">
        <f t="shared" si="1484"/>
        <v>600</v>
      </c>
      <c r="DV190" s="3">
        <f t="shared" si="1484"/>
        <v>600</v>
      </c>
      <c r="DW190" s="3">
        <f t="shared" si="1484"/>
        <v>600</v>
      </c>
      <c r="DX190" s="3">
        <f t="shared" ref="DX190:DX191" si="1572">(DX189*$O$4-AW190)/($O$3-$O$4*CJ189)</f>
        <v>532.76223474926724</v>
      </c>
      <c r="DY190" s="3">
        <f t="shared" ref="DY190:DY191" si="1573">(DY189*$O$4-AX190)/($O$3-$O$4*CK189)</f>
        <v>532.0216826105551</v>
      </c>
      <c r="DZ190" s="3">
        <f t="shared" ref="DZ190:DZ191" si="1574">(DZ189*$O$4-AY190)/($O$3-$O$4*CL189)</f>
        <v>532.25991353625739</v>
      </c>
      <c r="EA190" s="3">
        <f t="shared" ref="EA190:EA191" si="1575">(EA189*$O$4-AZ190)/($O$3-$O$4*CM189)</f>
        <v>532.55066664602521</v>
      </c>
      <c r="EB190" s="3">
        <f t="shared" ref="EB190:EB191" si="1576">(EB189*$O$4-BA190)/($O$3-$O$4*CN189)</f>
        <v>532.91093412554551</v>
      </c>
      <c r="EC190" s="3">
        <f t="shared" ref="EC190:EC191" si="1577">(EC189*$O$4-BB190)/($O$3-$O$4*CO189)</f>
        <v>533.32960577963672</v>
      </c>
      <c r="ED190" s="3">
        <f t="shared" ref="ED190:ED191" si="1578">(ED189*$O$4-BC190)/($O$3-$O$4*CP189)</f>
        <v>533.80315920979342</v>
      </c>
      <c r="EE190" s="3">
        <f t="shared" ref="EE190:EE191" si="1579">(EE189*$O$4-BD190)/($O$3-$O$4*CQ189)</f>
        <v>534.3282899410807</v>
      </c>
      <c r="EF190" s="3">
        <f t="shared" ref="EF190:EF191" si="1580">(EF189*$O$4-BE190)/($O$3-$O$4*CR189)</f>
        <v>534.90306618707064</v>
      </c>
      <c r="EG190" s="3">
        <f t="shared" ref="EG190:EG191" si="1581">(EG189*$O$4-BF190)/($O$3-$O$4*CS189)</f>
        <v>535.52566641886438</v>
      </c>
      <c r="EH190" s="3">
        <f t="shared" ref="EH190:EH191" si="1582">(EH189*$O$4-BG190)/($O$3-$O$4*CT189)</f>
        <v>536.19446642562684</v>
      </c>
      <c r="EI190" s="3">
        <f t="shared" ref="EI190:EI191" si="1583">(EI189*$O$4-BH190)/($O$3-$O$4*CU189)</f>
        <v>536.90793850466946</v>
      </c>
      <c r="EJ190" s="3">
        <f t="shared" ref="EJ190:EJ191" si="1584">(EJ189*$O$4-BI190)/($O$3-$O$4*CV189)</f>
        <v>537.66457080133443</v>
      </c>
      <c r="EK190" s="3">
        <f t="shared" ref="EK190:EK191" si="1585">(EK189*$O$4-BJ190)/($O$3-$O$4*CW189)</f>
        <v>538.46278719972872</v>
      </c>
      <c r="EL190" s="3">
        <f t="shared" ref="EL190:EL191" si="1586">(EL189*$O$4-BK190)/($O$3-$O$4*CX189)</f>
        <v>539.30087235362316</v>
      </c>
      <c r="EM190" s="3">
        <f t="shared" ref="EM190:EM191" si="1587">(EM189*$O$4-BL190)/($O$3-$O$4*CY189)</f>
        <v>540.17690070498941</v>
      </c>
      <c r="EN190" s="3">
        <f t="shared" ref="EN190:EN191" si="1588">(EN189*$O$4-BM190)/($O$3-$O$4*CZ189)</f>
        <v>541.08866819736818</v>
      </c>
      <c r="EO190" s="3">
        <f t="shared" ref="EO190:EO191" si="1589">(EO189*$O$4-BN190)/($O$3-$O$4*DA189)</f>
        <v>542.03362691682923</v>
      </c>
      <c r="EP190" s="3">
        <f t="shared" ref="EP190:EP191" si="1590">(EP189*$O$4-BO190)/($O$3-$O$4*DB189)</f>
        <v>543.00881978224425</v>
      </c>
      <c r="EQ190" s="3">
        <f t="shared" ref="EQ190:EQ191" si="1591">(EQ189*$O$4-BP190)/($O$3-$O$4*DC189)</f>
        <v>544.01089483454507</v>
      </c>
      <c r="ER190" s="3">
        <f t="shared" ref="ER190:ER191" si="1592">(ER189*$O$4-BQ190)/($O$3-$O$4*DD189)</f>
        <v>545.03585856178529</v>
      </c>
      <c r="ES190" s="3">
        <f t="shared" ref="ES190:ES191" si="1593">(ES189*$O$4-BR190)/($O$3-$O$4*DE189)</f>
        <v>546.07837872270181</v>
      </c>
      <c r="ET190" s="3">
        <f t="shared" ref="ET190:ET191" si="1594">(ET189*$O$4-BS190)/($O$3-$O$4*DF189)</f>
        <v>547.14947410260868</v>
      </c>
      <c r="EU190" s="3">
        <f t="shared" ref="EU190:EU191" si="1595">(EU189*$O$4-BT190)/($O$3-$O$4*DG189)</f>
        <v>548.21277163299908</v>
      </c>
      <c r="EV190" s="3">
        <f t="shared" ref="EV190:EV191" si="1596">(EV189*$O$4-BU190)/($O$3-$O$4*DH189)</f>
        <v>550.31520856420104</v>
      </c>
      <c r="EW190" s="3">
        <f t="shared" si="1505"/>
        <v>650</v>
      </c>
      <c r="EX190" s="3">
        <f t="shared" si="1505"/>
        <v>650</v>
      </c>
      <c r="EY190" s="3">
        <f t="shared" si="1505"/>
        <v>650</v>
      </c>
      <c r="EZ190" s="5">
        <v>3</v>
      </c>
      <c r="FA190" s="6">
        <f t="shared" si="1114"/>
        <v>1.8518518518518517E-2</v>
      </c>
    </row>
    <row r="191" spans="3:157" ht="15" customHeight="1" x14ac:dyDescent="0.3">
      <c r="C191" s="94"/>
      <c r="D191" s="95"/>
      <c r="E191" s="5">
        <v>2</v>
      </c>
      <c r="F191" s="6">
        <f t="shared" si="1107"/>
        <v>9.2592592592592587E-3</v>
      </c>
      <c r="G191" s="3">
        <f>$R$2</f>
        <v>600</v>
      </c>
      <c r="H191" s="3">
        <f>$R$2</f>
        <v>600</v>
      </c>
      <c r="I191" s="3">
        <f t="shared" ref="I191" si="1597">($F$5*$B$5*I63+$F$4*I128)/($F$4+$F$5*$B$5)</f>
        <v>601.68728178324204</v>
      </c>
      <c r="J191" s="3">
        <f t="shared" ref="J191" si="1598">CJ191*J192+DX191</f>
        <v>601.96209528312727</v>
      </c>
      <c r="K191" s="3">
        <f t="shared" ref="K191" si="1599">CK191*K192+DY191</f>
        <v>602.17693343187068</v>
      </c>
      <c r="L191" s="3">
        <f t="shared" ref="L191" si="1600">CL191*L192+DZ191</f>
        <v>602.44664145371428</v>
      </c>
      <c r="M191" s="3">
        <f t="shared" ref="M191" si="1601">CM191*M192+EA191</f>
        <v>602.77612442698364</v>
      </c>
      <c r="N191" s="3">
        <f t="shared" ref="N191" si="1602">CN191*N192+EB191</f>
        <v>603.16533874872619</v>
      </c>
      <c r="O191" s="3">
        <f t="shared" ref="O191" si="1603">CO191*O192+EC191</f>
        <v>603.61490789602806</v>
      </c>
      <c r="P191" s="3">
        <f t="shared" ref="P191" si="1604">CP191*P192+ED191</f>
        <v>604.12390069697494</v>
      </c>
      <c r="Q191" s="3">
        <f t="shared" ref="Q191" si="1605">CQ191*Q192+EE191</f>
        <v>604.69100937116423</v>
      </c>
      <c r="R191" s="3">
        <f t="shared" ref="R191" si="1606">CR191*R192+EF191</f>
        <v>605.31483421687392</v>
      </c>
      <c r="S191" s="3">
        <f t="shared" ref="S191" si="1607">CS191*S192+EG191</f>
        <v>605.99381331712289</v>
      </c>
      <c r="T191" s="3">
        <f t="shared" ref="T191" si="1608">CT191*T192+EH191</f>
        <v>606.72628128870474</v>
      </c>
      <c r="U191" s="3">
        <f t="shared" si="1071"/>
        <v>607.51047049988949</v>
      </c>
      <c r="V191" s="3">
        <f t="shared" si="1072"/>
        <v>608.34449409031049</v>
      </c>
      <c r="W191" s="3">
        <f t="shared" si="1073"/>
        <v>609.22631567255905</v>
      </c>
      <c r="X191" s="3">
        <f t="shared" ref="X191" si="1609">CX191*X192+EL191</f>
        <v>610.15371240911145</v>
      </c>
      <c r="Y191" s="3">
        <f t="shared" ref="Y191" si="1610">CY191*Y192+EM191</f>
        <v>611.12423616181036</v>
      </c>
      <c r="Z191" s="3">
        <f t="shared" ref="Z191" si="1611">CZ191*Z192+EN191</f>
        <v>612.13517675823368</v>
      </c>
      <c r="AA191" s="3">
        <f t="shared" ref="AA191" si="1612">DA191*AA192+EO191</f>
        <v>613.18353154624992</v>
      </c>
      <c r="AB191" s="3">
        <f t="shared" ref="AB191" si="1613">DB191*AB192+EP191</f>
        <v>614.26598532552885</v>
      </c>
      <c r="AC191" s="3">
        <f t="shared" ref="AC191" si="1614">DC191*AC192+EQ191</f>
        <v>615.37891642683564</v>
      </c>
      <c r="AD191" s="3">
        <f t="shared" ref="AD191" si="1615">DD191*AD192+ER191</f>
        <v>616.51836195113924</v>
      </c>
      <c r="AE191" s="3">
        <f t="shared" ref="AE191" si="1616">DE191*AE192+ES191</f>
        <v>617.68009611631112</v>
      </c>
      <c r="AF191" s="3">
        <f t="shared" ref="AF191" si="1617">DF191*AF192+ET191</f>
        <v>618.86025610815534</v>
      </c>
      <c r="AG191" s="3">
        <f t="shared" ref="AG191" si="1618">DG191*AG192+EU191</f>
        <v>620.05375912608724</v>
      </c>
      <c r="AH191" s="3">
        <f t="shared" ref="AH191" si="1619">DH191*AH192+EV191</f>
        <v>621.26715373823743</v>
      </c>
      <c r="AI191" s="3">
        <f t="shared" ref="AI191" si="1620">($F$5*$B$5*AI63+$F$4*AI128)/($F$4+$F$5*$B$5)</f>
        <v>623.89798711637457</v>
      </c>
      <c r="AJ191" s="3">
        <f>$R$3</f>
        <v>650</v>
      </c>
      <c r="AK191" s="3">
        <f>$R$3</f>
        <v>650</v>
      </c>
      <c r="AL191" s="5">
        <v>2</v>
      </c>
      <c r="AM191" s="6">
        <f t="shared" si="1108"/>
        <v>9.2592592592592587E-3</v>
      </c>
      <c r="AP191" s="102"/>
      <c r="AQ191" s="101"/>
      <c r="AR191" s="5">
        <v>2</v>
      </c>
      <c r="AS191" s="6">
        <f t="shared" si="1109"/>
        <v>9.2592592592592587E-3</v>
      </c>
      <c r="AT191" s="3">
        <f>$R$2</f>
        <v>600</v>
      </c>
      <c r="AU191" s="3">
        <f>$R$2</f>
        <v>600</v>
      </c>
      <c r="AV191" s="7"/>
      <c r="AW191" s="3">
        <f t="shared" si="1526"/>
        <v>-2159790210.9727454</v>
      </c>
      <c r="AX191" s="3">
        <f t="shared" si="1527"/>
        <v>-2160560957.878406</v>
      </c>
      <c r="AY191" s="3">
        <f t="shared" si="1528"/>
        <v>-2161528677.6331267</v>
      </c>
      <c r="AZ191" s="3">
        <f t="shared" si="1529"/>
        <v>-2162704215.2232914</v>
      </c>
      <c r="BA191" s="3">
        <f t="shared" si="1530"/>
        <v>-2164091881.4971294</v>
      </c>
      <c r="BB191" s="3">
        <f t="shared" si="1531"/>
        <v>-2165693276.3377113</v>
      </c>
      <c r="BC191" s="3">
        <f t="shared" si="1532"/>
        <v>-2167506691.4931045</v>
      </c>
      <c r="BD191" s="3">
        <f t="shared" si="1533"/>
        <v>-2169528497.6445055</v>
      </c>
      <c r="BE191" s="3">
        <f t="shared" si="1534"/>
        <v>-2171754044.5459518</v>
      </c>
      <c r="BF191" s="3">
        <f t="shared" si="1535"/>
        <v>-2174177965.0966635</v>
      </c>
      <c r="BG191" s="3">
        <f t="shared" si="1536"/>
        <v>-2176794366.068841</v>
      </c>
      <c r="BH191" s="3">
        <f t="shared" si="1537"/>
        <v>-2179596887.1265955</v>
      </c>
      <c r="BI191" s="3">
        <f t="shared" si="1538"/>
        <v>-2182578675.1311998</v>
      </c>
      <c r="BJ191" s="3">
        <f t="shared" si="1539"/>
        <v>-2185732304.0529017</v>
      </c>
      <c r="BK191" s="3">
        <f t="shared" si="1540"/>
        <v>-2189049665.2157998</v>
      </c>
      <c r="BL191" s="3">
        <f t="shared" si="1541"/>
        <v>-2192521847.5740223</v>
      </c>
      <c r="BM191" s="3">
        <f t="shared" si="1542"/>
        <v>-2196139025.1406622</v>
      </c>
      <c r="BN191" s="3">
        <f t="shared" si="1543"/>
        <v>-2199890368.3884268</v>
      </c>
      <c r="BO191" s="3">
        <f t="shared" si="1544"/>
        <v>-2203763997.7906942</v>
      </c>
      <c r="BP191" s="3">
        <f t="shared" si="1545"/>
        <v>-2207747002.067451</v>
      </c>
      <c r="BQ191" s="3">
        <f t="shared" si="1546"/>
        <v>-2211825519.0467811</v>
      </c>
      <c r="BR191" s="3">
        <f t="shared" si="1547"/>
        <v>-2215985056.797204</v>
      </c>
      <c r="BS191" s="3">
        <f t="shared" si="1548"/>
        <v>-2220211093.585021</v>
      </c>
      <c r="BT191" s="3">
        <f t="shared" si="1549"/>
        <v>-2224488540.0428491</v>
      </c>
      <c r="BU191" s="3">
        <f t="shared" si="1550"/>
        <v>-2228804506.6121154</v>
      </c>
      <c r="BV191" s="7"/>
      <c r="BW191" s="3">
        <f>$R$3</f>
        <v>650</v>
      </c>
      <c r="BX191" s="3">
        <f>$R$3</f>
        <v>650</v>
      </c>
      <c r="BY191" s="5">
        <v>2</v>
      </c>
      <c r="BZ191" s="6">
        <f t="shared" si="1110"/>
        <v>9.2592592592592587E-3</v>
      </c>
      <c r="CC191" s="94"/>
      <c r="CD191" s="95"/>
      <c r="CE191" s="5">
        <v>2</v>
      </c>
      <c r="CF191" s="6">
        <f t="shared" si="1111"/>
        <v>9.2592592592592587E-3</v>
      </c>
      <c r="CG191" s="3">
        <f>$R$2</f>
        <v>600</v>
      </c>
      <c r="CH191" s="3">
        <f>$R$2</f>
        <v>600</v>
      </c>
      <c r="CI191" s="3">
        <v>0</v>
      </c>
      <c r="CJ191" s="3">
        <f t="shared" ref="CJ191" si="1621">$O$2/($O$3-$O$4*CJ190)</f>
        <v>0.11665710012935292</v>
      </c>
      <c r="CK191" s="3">
        <f t="shared" ref="CK191" si="1622">$O$2/($O$3-$O$4*CK190)</f>
        <v>0.1166781402357549</v>
      </c>
      <c r="CL191" s="3">
        <f t="shared" ref="CL191" si="1623">$O$2/($O$3-$O$4*CL190)</f>
        <v>0.1166781402357549</v>
      </c>
      <c r="CM191" s="3">
        <f t="shared" ref="CM191" si="1624">$O$2/($O$3-$O$4*CM190)</f>
        <v>0.11667842667201472</v>
      </c>
      <c r="CN191" s="3">
        <f t="shared" ref="CN191" si="1625">$O$2/($O$3-$O$4*CN190)</f>
        <v>0.11667842667201472</v>
      </c>
      <c r="CO191" s="3">
        <f t="shared" ref="CO191" si="1626">$O$2/($O$3-$O$4*CO190)</f>
        <v>0.11667843057151663</v>
      </c>
      <c r="CP191" s="3">
        <f t="shared" ref="CP191" si="1627">$O$2/($O$3-$O$4*CP190)</f>
        <v>0.1166784306246039</v>
      </c>
      <c r="CQ191" s="3">
        <f t="shared" ref="CQ191" si="1628">$O$2/($O$3-$O$4*CQ190)</f>
        <v>0.11667843062532661</v>
      </c>
      <c r="CR191" s="3">
        <f t="shared" ref="CR191" si="1629">$O$2/($O$3-$O$4*CR190)</f>
        <v>0.11667843062533659</v>
      </c>
      <c r="CS191" s="3">
        <f t="shared" ref="CS191" si="1630">$O$2/($O$3-$O$4*CS190)</f>
        <v>0.11667843062533659</v>
      </c>
      <c r="CT191" s="3">
        <f t="shared" ref="CT191" si="1631">$O$2/($O$3-$O$4*CT190)</f>
        <v>0.11667843062533659</v>
      </c>
      <c r="CU191" s="3">
        <f t="shared" ref="CU191" si="1632">$O$2/($O$3-$O$4*CU190)</f>
        <v>0.11667843062533659</v>
      </c>
      <c r="CV191" s="3">
        <f t="shared" ref="CV191" si="1633">$O$2/($O$3-$O$4*CV190)</f>
        <v>0.11667843062533659</v>
      </c>
      <c r="CW191" s="3">
        <f t="shared" ref="CW191" si="1634">$O$2/($O$3-$O$4*CW190)</f>
        <v>0.11667843062533659</v>
      </c>
      <c r="CX191" s="3">
        <f t="shared" ref="CX191" si="1635">$O$2/($O$3-$O$4*CX190)</f>
        <v>0.11667843062533659</v>
      </c>
      <c r="CY191" s="3">
        <f t="shared" ref="CY191" si="1636">$O$2/($O$3-$O$4*CY190)</f>
        <v>0.11667843062533659</v>
      </c>
      <c r="CZ191" s="3">
        <f t="shared" ref="CZ191" si="1637">$O$2/($O$3-$O$4*CZ190)</f>
        <v>0.11667843062533659</v>
      </c>
      <c r="DA191" s="3">
        <f t="shared" ref="DA191" si="1638">$O$2/($O$3-$O$4*DA190)</f>
        <v>0.11667843062532661</v>
      </c>
      <c r="DB191" s="3">
        <f t="shared" ref="DB191" si="1639">$O$2/($O$3-$O$4*DB190)</f>
        <v>0.1166784306246039</v>
      </c>
      <c r="DC191" s="3">
        <f t="shared" ref="DC191" si="1640">$O$2/($O$3-$O$4*DC190)</f>
        <v>0.11667843057151663</v>
      </c>
      <c r="DD191" s="3">
        <f t="shared" ref="DD191" si="1641">$O$2/($O$3-$O$4*DD190)</f>
        <v>0.11667842667201472</v>
      </c>
      <c r="DE191" s="3">
        <f t="shared" ref="DE191" si="1642">$O$2/($O$3-$O$4*DE190)</f>
        <v>0.11667842667201472</v>
      </c>
      <c r="DF191" s="3">
        <f t="shared" ref="DF191" si="1643">$O$2/($O$3-$O$4*DF190)</f>
        <v>0.1166781402357549</v>
      </c>
      <c r="DG191" s="3">
        <f t="shared" ref="DG191" si="1644">$O$2/($O$3-$O$4*DG190)</f>
        <v>0.1166781402357549</v>
      </c>
      <c r="DH191" s="3">
        <f t="shared" ref="DH191" si="1645">$O$2/($O$3-$O$4*DH190)</f>
        <v>0.11665710012935292</v>
      </c>
      <c r="DI191" s="3">
        <v>0</v>
      </c>
      <c r="DJ191" s="3">
        <f>$R$3</f>
        <v>650</v>
      </c>
      <c r="DK191" s="3">
        <f>$R$3</f>
        <v>650</v>
      </c>
      <c r="DL191" s="5">
        <v>2</v>
      </c>
      <c r="DM191" s="6">
        <f t="shared" si="1112"/>
        <v>9.2592592592592587E-3</v>
      </c>
      <c r="DQ191" s="94"/>
      <c r="DR191" s="95"/>
      <c r="DS191" s="5">
        <v>2</v>
      </c>
      <c r="DT191" s="6">
        <f t="shared" si="1113"/>
        <v>9.2592592592592587E-3</v>
      </c>
      <c r="DU191" s="3">
        <f>$R$2</f>
        <v>600</v>
      </c>
      <c r="DV191" s="3">
        <f>$R$2</f>
        <v>600</v>
      </c>
      <c r="DW191" s="3">
        <f>I191</f>
        <v>601.68728178324204</v>
      </c>
      <c r="DX191" s="3">
        <f t="shared" si="1572"/>
        <v>531.73894285960841</v>
      </c>
      <c r="DY191" s="3">
        <f t="shared" si="1573"/>
        <v>531.91604874617008</v>
      </c>
      <c r="DZ191" s="3">
        <f t="shared" si="1574"/>
        <v>532.15428773761823</v>
      </c>
      <c r="EA191" s="3">
        <f t="shared" si="1575"/>
        <v>532.44515459338857</v>
      </c>
      <c r="EB191" s="3">
        <f t="shared" si="1576"/>
        <v>532.78895600043199</v>
      </c>
      <c r="EC191" s="3">
        <f t="shared" si="1577"/>
        <v>533.18606777314892</v>
      </c>
      <c r="ED191" s="3">
        <f t="shared" si="1578"/>
        <v>533.63567206083781</v>
      </c>
      <c r="EE191" s="3">
        <f t="shared" si="1579"/>
        <v>534.13661138449208</v>
      </c>
      <c r="EF191" s="3">
        <f t="shared" si="1580"/>
        <v>534.68764932621332</v>
      </c>
      <c r="EG191" s="3">
        <f t="shared" si="1581"/>
        <v>535.28740621061775</v>
      </c>
      <c r="EH191" s="3">
        <f t="shared" si="1582"/>
        <v>535.93441096879212</v>
      </c>
      <c r="EI191" s="3">
        <f t="shared" si="1583"/>
        <v>536.62710221350255</v>
      </c>
      <c r="EJ191" s="3">
        <f t="shared" si="1584"/>
        <v>537.36381324028866</v>
      </c>
      <c r="EK191" s="3">
        <f t="shared" si="1585"/>
        <v>538.14274526422901</v>
      </c>
      <c r="EL191" s="3">
        <f t="shared" si="1586"/>
        <v>538.96193480499335</v>
      </c>
      <c r="EM191" s="3">
        <f t="shared" si="1587"/>
        <v>539.81921936934282</v>
      </c>
      <c r="EN191" s="3">
        <f t="shared" si="1588"/>
        <v>540.71220500352001</v>
      </c>
      <c r="EO191" s="3">
        <f t="shared" si="1589"/>
        <v>541.63823940013799</v>
      </c>
      <c r="EP191" s="3">
        <f t="shared" si="1590"/>
        <v>542.59439417167016</v>
      </c>
      <c r="EQ191" s="3">
        <f t="shared" si="1591"/>
        <v>543.577470251352</v>
      </c>
      <c r="ER191" s="3">
        <f t="shared" si="1592"/>
        <v>544.58396946427263</v>
      </c>
      <c r="ES191" s="3">
        <f t="shared" si="1593"/>
        <v>545.61015431484111</v>
      </c>
      <c r="ET191" s="3">
        <f t="shared" si="1594"/>
        <v>546.65279235963283</v>
      </c>
      <c r="EU191" s="3">
        <f t="shared" si="1595"/>
        <v>547.70703966506665</v>
      </c>
      <c r="EV191" s="3">
        <f t="shared" si="1596"/>
        <v>548.79192917751777</v>
      </c>
      <c r="EW191" s="3">
        <f t="shared" si="1422"/>
        <v>623.89798711637457</v>
      </c>
      <c r="EX191" s="3">
        <f>$R$3</f>
        <v>650</v>
      </c>
      <c r="EY191" s="3">
        <f>$R$3</f>
        <v>650</v>
      </c>
      <c r="EZ191" s="5">
        <v>2</v>
      </c>
      <c r="FA191" s="6">
        <f t="shared" si="1114"/>
        <v>9.2592592592592587E-3</v>
      </c>
    </row>
    <row r="192" spans="3:157" ht="15" customHeight="1" x14ac:dyDescent="0.3">
      <c r="C192" s="94"/>
      <c r="D192" s="95"/>
      <c r="E192" s="5">
        <v>1</v>
      </c>
      <c r="F192" s="6">
        <v>0</v>
      </c>
      <c r="G192" s="3">
        <f>$R$2</f>
        <v>600</v>
      </c>
      <c r="H192" s="3">
        <f>$R$2</f>
        <v>600</v>
      </c>
      <c r="I192" s="3">
        <f>DW191/(1-CI191)</f>
        <v>601.68728178324204</v>
      </c>
      <c r="J192" s="3">
        <f t="shared" ref="J192:AI192" si="1646">DX191/(1-CJ191)</f>
        <v>601.96209528312727</v>
      </c>
      <c r="K192" s="3">
        <f t="shared" si="1646"/>
        <v>602.17693343187068</v>
      </c>
      <c r="L192" s="3">
        <f t="shared" si="1646"/>
        <v>602.44664145371416</v>
      </c>
      <c r="M192" s="3">
        <f t="shared" si="1646"/>
        <v>602.77612442698353</v>
      </c>
      <c r="N192" s="3">
        <f t="shared" si="1646"/>
        <v>603.16533874872607</v>
      </c>
      <c r="O192" s="3">
        <f t="shared" si="1646"/>
        <v>603.61490789602806</v>
      </c>
      <c r="P192" s="3">
        <f t="shared" si="1646"/>
        <v>604.12390069697494</v>
      </c>
      <c r="Q192" s="3">
        <f t="shared" si="1646"/>
        <v>604.69100937116411</v>
      </c>
      <c r="R192" s="3">
        <f t="shared" si="1646"/>
        <v>605.31483421687392</v>
      </c>
      <c r="S192" s="3">
        <f t="shared" si="1646"/>
        <v>605.99381331712277</v>
      </c>
      <c r="T192" s="3">
        <f t="shared" si="1646"/>
        <v>606.72628128870474</v>
      </c>
      <c r="U192" s="3">
        <f t="shared" si="1646"/>
        <v>607.51047049988949</v>
      </c>
      <c r="V192" s="3">
        <f t="shared" si="1646"/>
        <v>608.34449409031038</v>
      </c>
      <c r="W192" s="3">
        <f t="shared" si="1646"/>
        <v>609.22631567255905</v>
      </c>
      <c r="X192" s="3">
        <f t="shared" si="1646"/>
        <v>610.15371240911145</v>
      </c>
      <c r="Y192" s="3">
        <f t="shared" si="1646"/>
        <v>611.12423616181036</v>
      </c>
      <c r="Z192" s="3">
        <f t="shared" si="1646"/>
        <v>612.13517675823368</v>
      </c>
      <c r="AA192" s="3">
        <f t="shared" si="1646"/>
        <v>613.18353154624981</v>
      </c>
      <c r="AB192" s="3">
        <f t="shared" si="1646"/>
        <v>614.26598532552885</v>
      </c>
      <c r="AC192" s="3">
        <f t="shared" si="1646"/>
        <v>615.37891642683564</v>
      </c>
      <c r="AD192" s="3">
        <f t="shared" si="1646"/>
        <v>616.51836195113924</v>
      </c>
      <c r="AE192" s="3">
        <f t="shared" si="1646"/>
        <v>617.68009611631112</v>
      </c>
      <c r="AF192" s="3">
        <f t="shared" si="1646"/>
        <v>618.86025610815534</v>
      </c>
      <c r="AG192" s="3">
        <f t="shared" si="1646"/>
        <v>620.05375912608724</v>
      </c>
      <c r="AH192" s="3">
        <f t="shared" si="1646"/>
        <v>621.26715373823743</v>
      </c>
      <c r="AI192" s="3">
        <f t="shared" si="1646"/>
        <v>623.89798711637457</v>
      </c>
      <c r="AJ192" s="3">
        <f>$R$3</f>
        <v>650</v>
      </c>
      <c r="AK192" s="3">
        <f>$R$3</f>
        <v>650</v>
      </c>
      <c r="AL192" s="5">
        <v>1</v>
      </c>
      <c r="AM192" s="6">
        <v>0</v>
      </c>
      <c r="AP192" s="102"/>
      <c r="AQ192" s="101"/>
      <c r="AR192" s="5">
        <v>1</v>
      </c>
      <c r="AS192" s="6">
        <v>0</v>
      </c>
      <c r="AT192" s="3">
        <f>$R$2</f>
        <v>600</v>
      </c>
      <c r="AU192" s="3">
        <f>$R$2</f>
        <v>600</v>
      </c>
      <c r="AV192" s="3">
        <f t="shared" ref="AV192" si="1647">-($F$3*$F$2)/$B$8*I128</f>
        <v>-2159204921.6491866</v>
      </c>
      <c r="AW192" s="3">
        <f t="shared" ref="AW192" si="1648">-($F$3*$F$2)/$B$8*J128</f>
        <v>-2159790210.9727454</v>
      </c>
      <c r="AX192" s="3">
        <f t="shared" ref="AX192" si="1649">-($F$3*$F$2)/$B$8*K128</f>
        <v>-2160560957.878406</v>
      </c>
      <c r="AY192" s="3">
        <f t="shared" ref="AY192" si="1650">-($F$3*$F$2)/$B$8*L128</f>
        <v>-2161528677.6331267</v>
      </c>
      <c r="AZ192" s="3">
        <f t="shared" ref="AZ192" si="1651">-($F$3*$F$2)/$B$8*M128</f>
        <v>-2162704215.2232914</v>
      </c>
      <c r="BA192" s="3">
        <f t="shared" ref="BA192" si="1652">-($F$3*$F$2)/$B$8*N128</f>
        <v>-2164091881.4971294</v>
      </c>
      <c r="BB192" s="3">
        <f t="shared" ref="BB192" si="1653">-($F$3*$F$2)/$B$8*O128</f>
        <v>-2165693276.3377113</v>
      </c>
      <c r="BC192" s="3">
        <f t="shared" ref="BC192" si="1654">-($F$3*$F$2)/$B$8*P128</f>
        <v>-2167506691.4931045</v>
      </c>
      <c r="BD192" s="3">
        <f t="shared" ref="BD192" si="1655">-($F$3*$F$2)/$B$8*Q128</f>
        <v>-2169528497.644505</v>
      </c>
      <c r="BE192" s="3">
        <f t="shared" si="1077"/>
        <v>-2171754044.5459518</v>
      </c>
      <c r="BF192" s="3">
        <f t="shared" si="1077"/>
        <v>-2174177965.0966635</v>
      </c>
      <c r="BG192" s="3">
        <f t="shared" si="1077"/>
        <v>-2176794366.068841</v>
      </c>
      <c r="BH192" s="3">
        <f t="shared" si="1077"/>
        <v>-2179596887.1265955</v>
      </c>
      <c r="BI192" s="3">
        <f t="shared" si="1078"/>
        <v>-2182578675.1311998</v>
      </c>
      <c r="BJ192" s="3">
        <f t="shared" si="1079"/>
        <v>-2185732304.0529017</v>
      </c>
      <c r="BK192" s="3">
        <f t="shared" si="1134"/>
        <v>-2189049665.2157993</v>
      </c>
      <c r="BL192" s="3">
        <f t="shared" si="1157"/>
        <v>-2192521847.5740218</v>
      </c>
      <c r="BM192" s="3">
        <f t="shared" ref="BM192" si="1656">-($F$3*$F$2)/$B$8*Z128</f>
        <v>-2196139025.1406622</v>
      </c>
      <c r="BN192" s="3">
        <f t="shared" ref="BN192" si="1657">-($F$3*$F$2)/$B$8*AA128</f>
        <v>-2199890368.3884268</v>
      </c>
      <c r="BO192" s="3">
        <f t="shared" ref="BO192" si="1658">-($F$3*$F$2)/$B$8*AB128</f>
        <v>-2203763997.7906942</v>
      </c>
      <c r="BP192" s="3">
        <f t="shared" ref="BP192" si="1659">-($F$3*$F$2)/$B$8*AC128</f>
        <v>-2207747002.067451</v>
      </c>
      <c r="BQ192" s="3">
        <f t="shared" ref="BQ192" si="1660">-($F$3*$F$2)/$B$8*AD128</f>
        <v>-2211825519.0467811</v>
      </c>
      <c r="BR192" s="3">
        <f t="shared" ref="BR192" si="1661">-($F$3*$F$2)/$B$8*AE128</f>
        <v>-2215985056.797204</v>
      </c>
      <c r="BS192" s="3">
        <f t="shared" ref="BS192" si="1662">-($F$3*$F$2)/$B$8*AF128</f>
        <v>-2220211093.585021</v>
      </c>
      <c r="BT192" s="3">
        <f t="shared" ref="BT192" si="1663">-($F$3*$F$2)/$B$8*AG128</f>
        <v>-2224488540.0428491</v>
      </c>
      <c r="BU192" s="3">
        <f t="shared" ref="BU192" si="1664">-($F$3*$F$2)/$B$8*AH128</f>
        <v>-2228804506.6121154</v>
      </c>
      <c r="BV192" s="3">
        <f t="shared" ref="BV192" si="1665">-($F$3*$F$2)/$B$8*AI128</f>
        <v>-2233116759.0937576</v>
      </c>
      <c r="BW192" s="3">
        <f>$R$3</f>
        <v>650</v>
      </c>
      <c r="BX192" s="3">
        <f>$R$3</f>
        <v>650</v>
      </c>
      <c r="BY192" s="5">
        <v>1</v>
      </c>
      <c r="BZ192" s="6">
        <v>0</v>
      </c>
      <c r="CC192" s="94"/>
      <c r="CD192" s="95"/>
      <c r="CE192" s="5">
        <v>1</v>
      </c>
      <c r="CF192" s="6">
        <v>0</v>
      </c>
      <c r="CG192" s="3">
        <f>$R$2</f>
        <v>600</v>
      </c>
      <c r="CH192" s="3">
        <f>$R$2</f>
        <v>600</v>
      </c>
      <c r="CI192" s="3">
        <f t="shared" ref="CI192" si="1666">$O$2/($O$3-$O$4*CI191)</f>
        <v>0.11511132164850782</v>
      </c>
      <c r="CJ192" s="3">
        <f t="shared" ref="CJ192" si="1667">$O$2/($O$3-$O$4*CJ191)</f>
        <v>0.1166781402357549</v>
      </c>
      <c r="CK192" s="3">
        <f t="shared" ref="CK192" si="1668">$O$2/($O$3-$O$4*CK191)</f>
        <v>0.11667842667201472</v>
      </c>
      <c r="CL192" s="3">
        <f t="shared" ref="CL192" si="1669">$O$2/($O$3-$O$4*CL191)</f>
        <v>0.11667842667201472</v>
      </c>
      <c r="CM192" s="3">
        <f t="shared" ref="CM192" si="1670">$O$2/($O$3-$O$4*CM191)</f>
        <v>0.11667843057151663</v>
      </c>
      <c r="CN192" s="3">
        <f t="shared" ref="CN192" si="1671">$O$2/($O$3-$O$4*CN191)</f>
        <v>0.11667843057151663</v>
      </c>
      <c r="CO192" s="3">
        <f t="shared" ref="CO192" si="1672">$O$2/($O$3-$O$4*CO191)</f>
        <v>0.1166784306246039</v>
      </c>
      <c r="CP192" s="3">
        <f t="shared" ref="CP192" si="1673">$O$2/($O$3-$O$4*CP191)</f>
        <v>0.11667843062532661</v>
      </c>
      <c r="CQ192" s="3">
        <f t="shared" ref="CQ192" si="1674">$O$2/($O$3-$O$4*CQ191)</f>
        <v>0.11667843062533644</v>
      </c>
      <c r="CR192" s="3">
        <f t="shared" ref="CR192" si="1675">$O$2/($O$3-$O$4*CR191)</f>
        <v>0.11667843062533659</v>
      </c>
      <c r="CS192" s="3">
        <f t="shared" ref="CS192" si="1676">$O$2/($O$3-$O$4*CS191)</f>
        <v>0.11667843062533659</v>
      </c>
      <c r="CT192" s="3">
        <f t="shared" ref="CT192" si="1677">$O$2/($O$3-$O$4*CT191)</f>
        <v>0.11667843062533659</v>
      </c>
      <c r="CU192" s="3">
        <f t="shared" si="1090"/>
        <v>0.11667843062533659</v>
      </c>
      <c r="CV192" s="3">
        <f t="shared" si="1091"/>
        <v>0.11667843062533659</v>
      </c>
      <c r="CW192" s="3">
        <f t="shared" si="1092"/>
        <v>0.11667843062533659</v>
      </c>
      <c r="CX192" s="3">
        <f t="shared" ref="CX192" si="1678">$O$2/($O$3-$O$4*CX191)</f>
        <v>0.11667843062533659</v>
      </c>
      <c r="CY192" s="3">
        <f t="shared" ref="CY192" si="1679">$O$2/($O$3-$O$4*CY191)</f>
        <v>0.11667843062533659</v>
      </c>
      <c r="CZ192" s="3">
        <f t="shared" ref="CZ192" si="1680">$O$2/($O$3-$O$4*CZ191)</f>
        <v>0.11667843062533659</v>
      </c>
      <c r="DA192" s="3">
        <f t="shared" ref="DA192" si="1681">$O$2/($O$3-$O$4*DA191)</f>
        <v>0.11667843062533644</v>
      </c>
      <c r="DB192" s="3">
        <f t="shared" ref="DB192" si="1682">$O$2/($O$3-$O$4*DB191)</f>
        <v>0.11667843062532661</v>
      </c>
      <c r="DC192" s="3">
        <f t="shared" ref="DC192" si="1683">$O$2/($O$3-$O$4*DC191)</f>
        <v>0.1166784306246039</v>
      </c>
      <c r="DD192" s="3">
        <f t="shared" ref="DD192" si="1684">$O$2/($O$3-$O$4*DD191)</f>
        <v>0.11667843057151663</v>
      </c>
      <c r="DE192" s="3">
        <f t="shared" ref="DE192" si="1685">$O$2/($O$3-$O$4*DE191)</f>
        <v>0.11667843057151663</v>
      </c>
      <c r="DF192" s="3">
        <f t="shared" ref="DF192" si="1686">$O$2/($O$3-$O$4*DF191)</f>
        <v>0.11667842667201472</v>
      </c>
      <c r="DG192" s="3">
        <f t="shared" ref="DG192" si="1687">$O$2/($O$3-$O$4*DG191)</f>
        <v>0.11667842667201472</v>
      </c>
      <c r="DH192" s="3">
        <f t="shared" ref="DH192" si="1688">$O$2/($O$3-$O$4*DH191)</f>
        <v>0.1166781402357549</v>
      </c>
      <c r="DI192" s="3">
        <f t="shared" ref="DI192" si="1689">$O$2/($O$3-$O$4*DI191)</f>
        <v>0.11511132164850782</v>
      </c>
      <c r="DJ192" s="3">
        <f>$R$3</f>
        <v>650</v>
      </c>
      <c r="DK192" s="3">
        <f>$R$3</f>
        <v>650</v>
      </c>
      <c r="DL192" s="5">
        <v>1</v>
      </c>
      <c r="DM192" s="6">
        <v>0</v>
      </c>
      <c r="DQ192" s="94"/>
      <c r="DR192" s="95"/>
      <c r="DS192" s="5">
        <v>1</v>
      </c>
      <c r="DT192" s="6">
        <v>0</v>
      </c>
      <c r="DU192" s="3">
        <f>$R$2</f>
        <v>600</v>
      </c>
      <c r="DV192" s="3">
        <f>$R$2</f>
        <v>600</v>
      </c>
      <c r="DW192" s="3">
        <f t="shared" ref="DW192" si="1690">(DW191*$O$4-AV192)/($O$3-$O$4*CI191)</f>
        <v>532.50155812683533</v>
      </c>
      <c r="DX192" s="3">
        <f t="shared" ref="DX192" si="1691">(DX191*$O$4-AW192)/($O$3-$O$4*CJ191)</f>
        <v>531.71545073416348</v>
      </c>
      <c r="DY192" s="3">
        <f t="shared" ref="DY192" si="1692">(DY191*$O$4-AX192)/($O$3-$O$4*CK191)</f>
        <v>531.90502936788062</v>
      </c>
      <c r="DZ192" s="3">
        <f t="shared" ref="DZ192" si="1693">(DZ191*$O$4-AY192)/($O$3-$O$4*CL191)</f>
        <v>532.14326988528649</v>
      </c>
      <c r="EA192" s="3">
        <f t="shared" ref="EA192" si="1694">(EA191*$O$4-AZ192)/($O$3-$O$4*CM191)</f>
        <v>532.43286140749444</v>
      </c>
      <c r="EB192" s="3">
        <f t="shared" ref="EB192" si="1695">(EB191*$O$4-BA192)/($O$3-$O$4*CN191)</f>
        <v>532.77474159053384</v>
      </c>
      <c r="EC192" s="3">
        <f t="shared" ref="EC192" si="1696">(EC191*$O$4-BB192)/($O$3-$O$4*CO191)</f>
        <v>533.16932022641004</v>
      </c>
      <c r="ED192" s="3">
        <f t="shared" ref="ED192" si="1697">(ED191*$O$4-BC192)/($O$3-$O$4*CP191)</f>
        <v>533.61612992645314</v>
      </c>
      <c r="EE192" s="3">
        <f t="shared" ref="EE192" si="1698">(EE191*$O$4-BD192)/($O$3-$O$4*CQ191)</f>
        <v>534.11424663136972</v>
      </c>
      <c r="EF192" s="3">
        <f t="shared" ref="EF192" si="1699">(EF191*$O$4-BE192)/($O$3-$O$4*CR191)</f>
        <v>534.66251482495818</v>
      </c>
      <c r="EG192" s="3">
        <f t="shared" ref="EG192" si="1700">(EG191*$O$4-BF192)/($O$3-$O$4*CS191)</f>
        <v>535.25960638343918</v>
      </c>
      <c r="EH192" s="3">
        <f t="shared" ref="EH192" si="1701">(EH191*$O$4-BG192)/($O$3-$O$4*CT191)</f>
        <v>535.90406810621323</v>
      </c>
      <c r="EI192" s="3">
        <f t="shared" si="1125"/>
        <v>536.59433467578651</v>
      </c>
      <c r="EJ192" s="3">
        <f t="shared" si="1126"/>
        <v>537.32872132006707</v>
      </c>
      <c r="EK192" s="3">
        <f t="shared" si="1127"/>
        <v>538.10540327346064</v>
      </c>
      <c r="EL192" s="3">
        <f t="shared" ref="EL192" si="1702">(EL191*$O$4-BK192)/($O$3-$O$4*CX191)</f>
        <v>538.92238810373919</v>
      </c>
      <c r="EM192" s="3">
        <f t="shared" ref="EM192" si="1703">(EM191*$O$4-BL192)/($O$3-$O$4*CY191)</f>
        <v>539.77748567243543</v>
      </c>
      <c r="EN192" s="3">
        <f t="shared" ref="EN192" si="1704">(EN191*$O$4-BM192)/($O$3-$O$4*CZ191)</f>
        <v>540.66827986887358</v>
      </c>
      <c r="EO192" s="3">
        <f t="shared" ref="EO192" si="1705">(EO191*$O$4-BN192)/($O$3-$O$4*DA191)</f>
        <v>541.59210620524721</v>
      </c>
      <c r="EP192" s="3">
        <f t="shared" ref="EP192" si="1706">(EP191*$O$4-BO192)/($O$3-$O$4*DB191)</f>
        <v>542.54603964517844</v>
      </c>
      <c r="EQ192" s="3">
        <f t="shared" ref="EQ192" si="1707">(EQ191*$O$4-BP192)/($O$3-$O$4*DC191)</f>
        <v>543.52689919851196</v>
      </c>
      <c r="ER192" s="3">
        <f t="shared" ref="ER192" si="1708">(ER191*$O$4-BQ192)/($O$3-$O$4*DD191)</f>
        <v>544.53126195408697</v>
      </c>
      <c r="ES192" s="3">
        <f t="shared" ref="ES192" si="1709">(ES191*$O$4-BR192)/($O$3-$O$4*DE191)</f>
        <v>545.55554086057714</v>
      </c>
      <c r="ET192" s="3">
        <f t="shared" ref="ET192" si="1710">(ET191*$O$4-BS192)/($O$3-$O$4*DF191)</f>
        <v>546.59618230773856</v>
      </c>
      <c r="EU192" s="3">
        <f t="shared" ref="EU192" si="1711">(EU191*$O$4-BT192)/($O$3-$O$4*DG191)</f>
        <v>547.64937623526305</v>
      </c>
      <c r="EV192" s="3">
        <f t="shared" ref="EV192" si="1712">(EV191*$O$4-BU192)/($O$3-$O$4*DH191)</f>
        <v>548.71317509280698</v>
      </c>
      <c r="EW192" s="3">
        <f t="shared" ref="EW192" si="1713">(EW191*$O$4-BV192)/($O$3-$O$4*DI191)</f>
        <v>550.91546881181512</v>
      </c>
      <c r="EX192" s="3">
        <f>$R$3</f>
        <v>650</v>
      </c>
      <c r="EY192" s="3">
        <f>$R$3</f>
        <v>650</v>
      </c>
      <c r="EZ192" s="5">
        <v>1</v>
      </c>
      <c r="FA192" s="6">
        <v>0</v>
      </c>
    </row>
    <row r="193" spans="3:157" ht="15" customHeight="1" x14ac:dyDescent="0.3">
      <c r="C193" s="94"/>
      <c r="D193" s="95"/>
      <c r="E193" s="10"/>
      <c r="F193" s="8"/>
      <c r="G193" s="5">
        <v>0</v>
      </c>
      <c r="H193" s="6">
        <f t="shared" ref="H193:AK193" si="1714">$B$5*(H194-1)</f>
        <v>3.3333333333333335E-3</v>
      </c>
      <c r="I193" s="6">
        <f t="shared" si="1714"/>
        <v>6.6666666666666671E-3</v>
      </c>
      <c r="J193" s="6">
        <f t="shared" si="1714"/>
        <v>0.01</v>
      </c>
      <c r="K193" s="6">
        <f t="shared" si="1714"/>
        <v>1.3333333333333334E-2</v>
      </c>
      <c r="L193" s="6">
        <f t="shared" si="1714"/>
        <v>1.6666666666666666E-2</v>
      </c>
      <c r="M193" s="6">
        <f t="shared" si="1714"/>
        <v>0.02</v>
      </c>
      <c r="N193" s="6">
        <f t="shared" si="1714"/>
        <v>2.3333333333333334E-2</v>
      </c>
      <c r="O193" s="6">
        <f t="shared" si="1714"/>
        <v>2.6666666666666668E-2</v>
      </c>
      <c r="P193" s="6">
        <f t="shared" si="1714"/>
        <v>3.0000000000000002E-2</v>
      </c>
      <c r="Q193" s="6">
        <f t="shared" si="1714"/>
        <v>3.3333333333333333E-2</v>
      </c>
      <c r="R193" s="6">
        <f t="shared" si="1714"/>
        <v>3.6666666666666667E-2</v>
      </c>
      <c r="S193" s="6">
        <f t="shared" si="1714"/>
        <v>0.04</v>
      </c>
      <c r="T193" s="6">
        <f t="shared" si="1714"/>
        <v>4.3333333333333335E-2</v>
      </c>
      <c r="U193" s="6">
        <f t="shared" si="1714"/>
        <v>4.6666666666666669E-2</v>
      </c>
      <c r="V193" s="6">
        <f t="shared" si="1714"/>
        <v>0.05</v>
      </c>
      <c r="W193" s="6">
        <f t="shared" si="1714"/>
        <v>5.3333333333333337E-2</v>
      </c>
      <c r="X193" s="6">
        <f t="shared" si="1714"/>
        <v>5.6666666666666671E-2</v>
      </c>
      <c r="Y193" s="6">
        <f t="shared" si="1714"/>
        <v>6.0000000000000005E-2</v>
      </c>
      <c r="Z193" s="6">
        <f t="shared" si="1714"/>
        <v>6.3333333333333339E-2</v>
      </c>
      <c r="AA193" s="6">
        <f t="shared" si="1714"/>
        <v>6.6666666666666666E-2</v>
      </c>
      <c r="AB193" s="6">
        <f t="shared" si="1714"/>
        <v>7.0000000000000007E-2</v>
      </c>
      <c r="AC193" s="6">
        <f t="shared" si="1714"/>
        <v>7.3333333333333334E-2</v>
      </c>
      <c r="AD193" s="6">
        <f t="shared" si="1714"/>
        <v>7.6666666666666675E-2</v>
      </c>
      <c r="AE193" s="6">
        <f t="shared" si="1714"/>
        <v>0.08</v>
      </c>
      <c r="AF193" s="6">
        <f t="shared" si="1714"/>
        <v>8.3333333333333343E-2</v>
      </c>
      <c r="AG193" s="6">
        <f t="shared" si="1714"/>
        <v>8.666666666666667E-2</v>
      </c>
      <c r="AH193" s="6">
        <f t="shared" si="1714"/>
        <v>9.0000000000000011E-2</v>
      </c>
      <c r="AI193" s="6">
        <f t="shared" si="1714"/>
        <v>9.3333333333333338E-2</v>
      </c>
      <c r="AJ193" s="6">
        <f t="shared" si="1714"/>
        <v>9.6666666666666679E-2</v>
      </c>
      <c r="AK193" s="6">
        <f t="shared" si="1714"/>
        <v>0.1</v>
      </c>
      <c r="AL193" s="4"/>
      <c r="AM193" s="8"/>
      <c r="AP193" s="102"/>
      <c r="AQ193" s="101"/>
      <c r="AR193" s="10"/>
      <c r="AS193" s="8"/>
      <c r="AT193" s="5">
        <v>0</v>
      </c>
      <c r="AU193" s="6">
        <f t="shared" ref="AU193:BX193" si="1715">$B$5*(AU194-1)</f>
        <v>3.3333333333333335E-3</v>
      </c>
      <c r="AV193" s="6">
        <f t="shared" si="1715"/>
        <v>6.6666666666666671E-3</v>
      </c>
      <c r="AW193" s="6">
        <f t="shared" si="1715"/>
        <v>0.01</v>
      </c>
      <c r="AX193" s="6">
        <f t="shared" si="1715"/>
        <v>1.3333333333333334E-2</v>
      </c>
      <c r="AY193" s="6">
        <f t="shared" si="1715"/>
        <v>1.6666666666666666E-2</v>
      </c>
      <c r="AZ193" s="6">
        <f t="shared" si="1715"/>
        <v>0.02</v>
      </c>
      <c r="BA193" s="6">
        <f t="shared" si="1715"/>
        <v>2.3333333333333334E-2</v>
      </c>
      <c r="BB193" s="6">
        <f t="shared" si="1715"/>
        <v>2.6666666666666668E-2</v>
      </c>
      <c r="BC193" s="6">
        <f t="shared" si="1715"/>
        <v>3.0000000000000002E-2</v>
      </c>
      <c r="BD193" s="6">
        <f t="shared" si="1715"/>
        <v>3.3333333333333333E-2</v>
      </c>
      <c r="BE193" s="6">
        <f t="shared" si="1715"/>
        <v>3.6666666666666667E-2</v>
      </c>
      <c r="BF193" s="6">
        <f t="shared" si="1715"/>
        <v>0.04</v>
      </c>
      <c r="BG193" s="6">
        <f t="shared" si="1715"/>
        <v>4.3333333333333335E-2</v>
      </c>
      <c r="BH193" s="6">
        <f t="shared" si="1715"/>
        <v>4.6666666666666669E-2</v>
      </c>
      <c r="BI193" s="6">
        <f t="shared" si="1715"/>
        <v>0.05</v>
      </c>
      <c r="BJ193" s="6">
        <f t="shared" si="1715"/>
        <v>5.3333333333333337E-2</v>
      </c>
      <c r="BK193" s="6">
        <f t="shared" si="1715"/>
        <v>5.6666666666666671E-2</v>
      </c>
      <c r="BL193" s="6">
        <f t="shared" si="1715"/>
        <v>6.0000000000000005E-2</v>
      </c>
      <c r="BM193" s="6">
        <f t="shared" si="1715"/>
        <v>6.3333333333333339E-2</v>
      </c>
      <c r="BN193" s="6">
        <f t="shared" si="1715"/>
        <v>6.6666666666666666E-2</v>
      </c>
      <c r="BO193" s="6">
        <f t="shared" si="1715"/>
        <v>7.0000000000000007E-2</v>
      </c>
      <c r="BP193" s="6">
        <f t="shared" si="1715"/>
        <v>7.3333333333333334E-2</v>
      </c>
      <c r="BQ193" s="6">
        <f t="shared" si="1715"/>
        <v>7.6666666666666675E-2</v>
      </c>
      <c r="BR193" s="6">
        <f t="shared" si="1715"/>
        <v>0.08</v>
      </c>
      <c r="BS193" s="6">
        <f t="shared" si="1715"/>
        <v>8.3333333333333343E-2</v>
      </c>
      <c r="BT193" s="6">
        <f t="shared" si="1715"/>
        <v>8.666666666666667E-2</v>
      </c>
      <c r="BU193" s="6">
        <f t="shared" si="1715"/>
        <v>9.0000000000000011E-2</v>
      </c>
      <c r="BV193" s="6">
        <f t="shared" si="1715"/>
        <v>9.3333333333333338E-2</v>
      </c>
      <c r="BW193" s="6">
        <f t="shared" si="1715"/>
        <v>9.6666666666666679E-2</v>
      </c>
      <c r="BX193" s="6">
        <f t="shared" si="1715"/>
        <v>0.1</v>
      </c>
      <c r="BY193" s="4"/>
      <c r="BZ193" s="8"/>
      <c r="CC193" s="94"/>
      <c r="CD193" s="95"/>
      <c r="CE193" s="10"/>
      <c r="CF193" s="8"/>
      <c r="CG193" s="5">
        <v>0</v>
      </c>
      <c r="CH193" s="6">
        <f t="shared" ref="CH193:DK193" si="1716">$B$5*(CH194-1)</f>
        <v>3.3333333333333335E-3</v>
      </c>
      <c r="CI193" s="6">
        <f t="shared" si="1716"/>
        <v>6.6666666666666671E-3</v>
      </c>
      <c r="CJ193" s="6">
        <f t="shared" si="1716"/>
        <v>0.01</v>
      </c>
      <c r="CK193" s="6">
        <f t="shared" si="1716"/>
        <v>1.3333333333333334E-2</v>
      </c>
      <c r="CL193" s="6">
        <f t="shared" si="1716"/>
        <v>1.6666666666666666E-2</v>
      </c>
      <c r="CM193" s="6">
        <f t="shared" si="1716"/>
        <v>0.02</v>
      </c>
      <c r="CN193" s="6">
        <f t="shared" si="1716"/>
        <v>2.3333333333333334E-2</v>
      </c>
      <c r="CO193" s="6">
        <f t="shared" si="1716"/>
        <v>2.6666666666666668E-2</v>
      </c>
      <c r="CP193" s="6">
        <f t="shared" si="1716"/>
        <v>3.0000000000000002E-2</v>
      </c>
      <c r="CQ193" s="6">
        <f t="shared" si="1716"/>
        <v>3.3333333333333333E-2</v>
      </c>
      <c r="CR193" s="6">
        <f t="shared" si="1716"/>
        <v>3.6666666666666667E-2</v>
      </c>
      <c r="CS193" s="6">
        <f t="shared" si="1716"/>
        <v>0.04</v>
      </c>
      <c r="CT193" s="6">
        <f t="shared" si="1716"/>
        <v>4.3333333333333335E-2</v>
      </c>
      <c r="CU193" s="6">
        <f t="shared" si="1716"/>
        <v>4.6666666666666669E-2</v>
      </c>
      <c r="CV193" s="6">
        <f t="shared" si="1716"/>
        <v>0.05</v>
      </c>
      <c r="CW193" s="6">
        <f t="shared" si="1716"/>
        <v>5.3333333333333337E-2</v>
      </c>
      <c r="CX193" s="6">
        <f t="shared" si="1716"/>
        <v>5.6666666666666671E-2</v>
      </c>
      <c r="CY193" s="6">
        <f t="shared" si="1716"/>
        <v>6.0000000000000005E-2</v>
      </c>
      <c r="CZ193" s="6">
        <f t="shared" si="1716"/>
        <v>6.3333333333333339E-2</v>
      </c>
      <c r="DA193" s="6">
        <f t="shared" si="1716"/>
        <v>6.6666666666666666E-2</v>
      </c>
      <c r="DB193" s="6">
        <f t="shared" si="1716"/>
        <v>7.0000000000000007E-2</v>
      </c>
      <c r="DC193" s="6">
        <f t="shared" si="1716"/>
        <v>7.3333333333333334E-2</v>
      </c>
      <c r="DD193" s="6">
        <f t="shared" si="1716"/>
        <v>7.6666666666666675E-2</v>
      </c>
      <c r="DE193" s="6">
        <f t="shared" si="1716"/>
        <v>0.08</v>
      </c>
      <c r="DF193" s="6">
        <f t="shared" si="1716"/>
        <v>8.3333333333333343E-2</v>
      </c>
      <c r="DG193" s="6">
        <f t="shared" si="1716"/>
        <v>8.666666666666667E-2</v>
      </c>
      <c r="DH193" s="6">
        <f t="shared" si="1716"/>
        <v>9.0000000000000011E-2</v>
      </c>
      <c r="DI193" s="6">
        <f t="shared" si="1716"/>
        <v>9.3333333333333338E-2</v>
      </c>
      <c r="DJ193" s="6">
        <f t="shared" si="1716"/>
        <v>9.6666666666666679E-2</v>
      </c>
      <c r="DK193" s="6">
        <f t="shared" si="1716"/>
        <v>0.1</v>
      </c>
      <c r="DL193" s="4"/>
      <c r="DM193" s="8"/>
      <c r="DQ193" s="94"/>
      <c r="DR193" s="95"/>
      <c r="DS193" s="10"/>
      <c r="DT193" s="8"/>
      <c r="DU193" s="5">
        <v>0</v>
      </c>
      <c r="DV193" s="6">
        <f t="shared" ref="DV193:EY193" si="1717">$B$5*(DV194-1)</f>
        <v>3.3333333333333335E-3</v>
      </c>
      <c r="DW193" s="6">
        <f t="shared" si="1717"/>
        <v>6.6666666666666671E-3</v>
      </c>
      <c r="DX193" s="6">
        <f t="shared" si="1717"/>
        <v>0.01</v>
      </c>
      <c r="DY193" s="6">
        <f t="shared" si="1717"/>
        <v>1.3333333333333334E-2</v>
      </c>
      <c r="DZ193" s="6">
        <f t="shared" si="1717"/>
        <v>1.6666666666666666E-2</v>
      </c>
      <c r="EA193" s="6">
        <f t="shared" si="1717"/>
        <v>0.02</v>
      </c>
      <c r="EB193" s="6">
        <f t="shared" si="1717"/>
        <v>2.3333333333333334E-2</v>
      </c>
      <c r="EC193" s="6">
        <f t="shared" si="1717"/>
        <v>2.6666666666666668E-2</v>
      </c>
      <c r="ED193" s="6">
        <f t="shared" si="1717"/>
        <v>3.0000000000000002E-2</v>
      </c>
      <c r="EE193" s="6">
        <f t="shared" si="1717"/>
        <v>3.3333333333333333E-2</v>
      </c>
      <c r="EF193" s="6">
        <f t="shared" si="1717"/>
        <v>3.6666666666666667E-2</v>
      </c>
      <c r="EG193" s="6">
        <f t="shared" si="1717"/>
        <v>0.04</v>
      </c>
      <c r="EH193" s="6">
        <f t="shared" si="1717"/>
        <v>4.3333333333333335E-2</v>
      </c>
      <c r="EI193" s="6">
        <f t="shared" si="1717"/>
        <v>4.6666666666666669E-2</v>
      </c>
      <c r="EJ193" s="6">
        <f t="shared" si="1717"/>
        <v>0.05</v>
      </c>
      <c r="EK193" s="6">
        <f t="shared" si="1717"/>
        <v>5.3333333333333337E-2</v>
      </c>
      <c r="EL193" s="6">
        <f t="shared" si="1717"/>
        <v>5.6666666666666671E-2</v>
      </c>
      <c r="EM193" s="6">
        <f t="shared" si="1717"/>
        <v>6.0000000000000005E-2</v>
      </c>
      <c r="EN193" s="6">
        <f t="shared" si="1717"/>
        <v>6.3333333333333339E-2</v>
      </c>
      <c r="EO193" s="6">
        <f t="shared" si="1717"/>
        <v>6.6666666666666666E-2</v>
      </c>
      <c r="EP193" s="6">
        <f t="shared" si="1717"/>
        <v>7.0000000000000007E-2</v>
      </c>
      <c r="EQ193" s="6">
        <f t="shared" si="1717"/>
        <v>7.3333333333333334E-2</v>
      </c>
      <c r="ER193" s="6">
        <f t="shared" si="1717"/>
        <v>7.6666666666666675E-2</v>
      </c>
      <c r="ES193" s="6">
        <f t="shared" si="1717"/>
        <v>0.08</v>
      </c>
      <c r="ET193" s="6">
        <f t="shared" si="1717"/>
        <v>8.3333333333333343E-2</v>
      </c>
      <c r="EU193" s="6">
        <f t="shared" si="1717"/>
        <v>8.666666666666667E-2</v>
      </c>
      <c r="EV193" s="6">
        <f t="shared" si="1717"/>
        <v>9.0000000000000011E-2</v>
      </c>
      <c r="EW193" s="6">
        <f t="shared" si="1717"/>
        <v>9.3333333333333338E-2</v>
      </c>
      <c r="EX193" s="6">
        <f t="shared" si="1717"/>
        <v>9.6666666666666679E-2</v>
      </c>
      <c r="EY193" s="6">
        <f t="shared" si="1717"/>
        <v>0.1</v>
      </c>
      <c r="EZ193" s="4"/>
      <c r="FA193" s="8"/>
    </row>
    <row r="194" spans="3:157" ht="15" customHeight="1" x14ac:dyDescent="0.3">
      <c r="C194" s="94"/>
      <c r="D194" s="95"/>
      <c r="E194" s="11"/>
      <c r="F194" s="9"/>
      <c r="G194" s="17">
        <v>1</v>
      </c>
      <c r="H194" s="17">
        <v>2</v>
      </c>
      <c r="I194" s="17">
        <v>3</v>
      </c>
      <c r="J194" s="17">
        <v>4</v>
      </c>
      <c r="K194" s="17">
        <v>5</v>
      </c>
      <c r="L194" s="17">
        <v>6</v>
      </c>
      <c r="M194" s="17">
        <v>7</v>
      </c>
      <c r="N194" s="17">
        <v>8</v>
      </c>
      <c r="O194" s="17">
        <v>9</v>
      </c>
      <c r="P194" s="17">
        <v>10</v>
      </c>
      <c r="Q194" s="17">
        <v>11</v>
      </c>
      <c r="R194" s="17">
        <v>12</v>
      </c>
      <c r="S194" s="17">
        <v>13</v>
      </c>
      <c r="T194" s="17">
        <v>14</v>
      </c>
      <c r="U194" s="17">
        <v>15</v>
      </c>
      <c r="V194" s="17">
        <v>16</v>
      </c>
      <c r="W194" s="17">
        <v>17</v>
      </c>
      <c r="X194" s="17">
        <v>18</v>
      </c>
      <c r="Y194" s="17">
        <v>19</v>
      </c>
      <c r="Z194" s="17">
        <v>20</v>
      </c>
      <c r="AA194" s="17">
        <v>21</v>
      </c>
      <c r="AB194" s="17">
        <v>22</v>
      </c>
      <c r="AC194" s="17">
        <v>23</v>
      </c>
      <c r="AD194" s="17">
        <v>24</v>
      </c>
      <c r="AE194" s="17">
        <v>25</v>
      </c>
      <c r="AF194" s="17">
        <v>26</v>
      </c>
      <c r="AG194" s="17">
        <v>27</v>
      </c>
      <c r="AH194" s="17">
        <v>28</v>
      </c>
      <c r="AI194" s="17">
        <v>29</v>
      </c>
      <c r="AJ194" s="17">
        <v>30</v>
      </c>
      <c r="AK194" s="17">
        <v>31</v>
      </c>
      <c r="AL194" s="12"/>
      <c r="AM194" s="9"/>
      <c r="AP194" s="102"/>
      <c r="AQ194" s="101"/>
      <c r="AR194" s="11"/>
      <c r="AS194" s="9"/>
      <c r="AT194" s="17">
        <v>1</v>
      </c>
      <c r="AU194" s="17">
        <v>2</v>
      </c>
      <c r="AV194" s="17">
        <v>3</v>
      </c>
      <c r="AW194" s="17">
        <v>4</v>
      </c>
      <c r="AX194" s="17">
        <v>5</v>
      </c>
      <c r="AY194" s="17">
        <v>6</v>
      </c>
      <c r="AZ194" s="17">
        <v>7</v>
      </c>
      <c r="BA194" s="17">
        <v>8</v>
      </c>
      <c r="BB194" s="17">
        <v>9</v>
      </c>
      <c r="BC194" s="17">
        <v>10</v>
      </c>
      <c r="BD194" s="17">
        <v>11</v>
      </c>
      <c r="BE194" s="17">
        <v>12</v>
      </c>
      <c r="BF194" s="17">
        <v>13</v>
      </c>
      <c r="BG194" s="17">
        <v>14</v>
      </c>
      <c r="BH194" s="17">
        <v>15</v>
      </c>
      <c r="BI194" s="17">
        <v>16</v>
      </c>
      <c r="BJ194" s="17">
        <v>17</v>
      </c>
      <c r="BK194" s="17">
        <v>18</v>
      </c>
      <c r="BL194" s="17">
        <v>19</v>
      </c>
      <c r="BM194" s="17">
        <v>20</v>
      </c>
      <c r="BN194" s="17">
        <v>21</v>
      </c>
      <c r="BO194" s="17">
        <v>22</v>
      </c>
      <c r="BP194" s="17">
        <v>23</v>
      </c>
      <c r="BQ194" s="17">
        <v>24</v>
      </c>
      <c r="BR194" s="17">
        <v>25</v>
      </c>
      <c r="BS194" s="17">
        <v>26</v>
      </c>
      <c r="BT194" s="17">
        <v>27</v>
      </c>
      <c r="BU194" s="17">
        <v>28</v>
      </c>
      <c r="BV194" s="17">
        <v>29</v>
      </c>
      <c r="BW194" s="17">
        <v>30</v>
      </c>
      <c r="BX194" s="17">
        <v>31</v>
      </c>
      <c r="BY194" s="12"/>
      <c r="BZ194" s="9"/>
      <c r="CC194" s="94"/>
      <c r="CD194" s="95"/>
      <c r="CE194" s="11"/>
      <c r="CF194" s="9"/>
      <c r="CG194" s="17">
        <v>1</v>
      </c>
      <c r="CH194" s="17">
        <v>2</v>
      </c>
      <c r="CI194" s="17">
        <v>3</v>
      </c>
      <c r="CJ194" s="17">
        <v>4</v>
      </c>
      <c r="CK194" s="17">
        <v>5</v>
      </c>
      <c r="CL194" s="17">
        <v>6</v>
      </c>
      <c r="CM194" s="17">
        <v>7</v>
      </c>
      <c r="CN194" s="17">
        <v>8</v>
      </c>
      <c r="CO194" s="17">
        <v>9</v>
      </c>
      <c r="CP194" s="17">
        <v>10</v>
      </c>
      <c r="CQ194" s="17">
        <v>11</v>
      </c>
      <c r="CR194" s="17">
        <v>12</v>
      </c>
      <c r="CS194" s="17">
        <v>13</v>
      </c>
      <c r="CT194" s="17">
        <v>14</v>
      </c>
      <c r="CU194" s="17">
        <v>15</v>
      </c>
      <c r="CV194" s="17">
        <v>16</v>
      </c>
      <c r="CW194" s="17">
        <v>17</v>
      </c>
      <c r="CX194" s="17">
        <v>18</v>
      </c>
      <c r="CY194" s="17">
        <v>19</v>
      </c>
      <c r="CZ194" s="17">
        <v>20</v>
      </c>
      <c r="DA194" s="17">
        <v>21</v>
      </c>
      <c r="DB194" s="17">
        <v>22</v>
      </c>
      <c r="DC194" s="17">
        <v>23</v>
      </c>
      <c r="DD194" s="17">
        <v>24</v>
      </c>
      <c r="DE194" s="17">
        <v>25</v>
      </c>
      <c r="DF194" s="17">
        <v>26</v>
      </c>
      <c r="DG194" s="17">
        <v>27</v>
      </c>
      <c r="DH194" s="17">
        <v>28</v>
      </c>
      <c r="DI194" s="17">
        <v>29</v>
      </c>
      <c r="DJ194" s="17">
        <v>30</v>
      </c>
      <c r="DK194" s="17">
        <v>31</v>
      </c>
      <c r="DL194" s="12"/>
      <c r="DM194" s="9"/>
      <c r="DQ194" s="94"/>
      <c r="DR194" s="95"/>
      <c r="DS194" s="11"/>
      <c r="DT194" s="9"/>
      <c r="DU194" s="17">
        <v>1</v>
      </c>
      <c r="DV194" s="17">
        <v>2</v>
      </c>
      <c r="DW194" s="17">
        <v>3</v>
      </c>
      <c r="DX194" s="17">
        <v>4</v>
      </c>
      <c r="DY194" s="17">
        <v>5</v>
      </c>
      <c r="DZ194" s="17">
        <v>6</v>
      </c>
      <c r="EA194" s="17">
        <v>7</v>
      </c>
      <c r="EB194" s="17">
        <v>8</v>
      </c>
      <c r="EC194" s="17">
        <v>9</v>
      </c>
      <c r="ED194" s="17">
        <v>10</v>
      </c>
      <c r="EE194" s="17">
        <v>11</v>
      </c>
      <c r="EF194" s="17">
        <v>12</v>
      </c>
      <c r="EG194" s="17">
        <v>13</v>
      </c>
      <c r="EH194" s="17">
        <v>14</v>
      </c>
      <c r="EI194" s="17">
        <v>15</v>
      </c>
      <c r="EJ194" s="17">
        <v>16</v>
      </c>
      <c r="EK194" s="17">
        <v>17</v>
      </c>
      <c r="EL194" s="17">
        <v>18</v>
      </c>
      <c r="EM194" s="17">
        <v>19</v>
      </c>
      <c r="EN194" s="17">
        <v>20</v>
      </c>
      <c r="EO194" s="17">
        <v>21</v>
      </c>
      <c r="EP194" s="17">
        <v>22</v>
      </c>
      <c r="EQ194" s="17">
        <v>23</v>
      </c>
      <c r="ER194" s="17">
        <v>24</v>
      </c>
      <c r="ES194" s="17">
        <v>25</v>
      </c>
      <c r="ET194" s="17">
        <v>26</v>
      </c>
      <c r="EU194" s="17">
        <v>27</v>
      </c>
      <c r="EV194" s="17">
        <v>28</v>
      </c>
      <c r="EW194" s="17">
        <v>29</v>
      </c>
      <c r="EX194" s="17">
        <v>30</v>
      </c>
      <c r="EY194" s="17">
        <v>31</v>
      </c>
      <c r="EZ194" s="12"/>
      <c r="FA194" s="9"/>
    </row>
    <row r="195" spans="3:157" ht="15" customHeight="1" x14ac:dyDescent="0.3"/>
    <row r="196" spans="3:157" ht="15" customHeight="1" x14ac:dyDescent="0.3"/>
    <row r="197" spans="3:157" ht="15" customHeight="1" x14ac:dyDescent="0.3"/>
    <row r="198" spans="3:157" ht="15" customHeight="1" x14ac:dyDescent="0.3"/>
    <row r="199" spans="3:157" ht="15" customHeight="1" x14ac:dyDescent="0.3"/>
    <row r="200" spans="3:157" ht="15" customHeight="1" x14ac:dyDescent="0.3"/>
    <row r="201" spans="3:157" ht="15" customHeight="1" x14ac:dyDescent="0.3"/>
    <row r="202" spans="3:157" ht="15" customHeight="1" x14ac:dyDescent="0.3"/>
    <row r="203" spans="3:157" ht="15" customHeight="1" x14ac:dyDescent="0.3"/>
  </sheetData>
  <mergeCells count="31">
    <mergeCell ref="DS72:DT72"/>
    <mergeCell ref="DS73:DT73"/>
    <mergeCell ref="DQ72:DR130"/>
    <mergeCell ref="C136:D194"/>
    <mergeCell ref="E136:F136"/>
    <mergeCell ref="AP136:AQ194"/>
    <mergeCell ref="AR136:AS136"/>
    <mergeCell ref="CC136:CD194"/>
    <mergeCell ref="CE136:CF136"/>
    <mergeCell ref="DQ136:DR194"/>
    <mergeCell ref="DS136:DT136"/>
    <mergeCell ref="E137:F137"/>
    <mergeCell ref="AR137:AS137"/>
    <mergeCell ref="CE137:CF137"/>
    <mergeCell ref="DS137:DT137"/>
    <mergeCell ref="C72:D130"/>
    <mergeCell ref="CE72:CF72"/>
    <mergeCell ref="CE73:CF73"/>
    <mergeCell ref="CC72:CD130"/>
    <mergeCell ref="A1:B2"/>
    <mergeCell ref="E1:F1"/>
    <mergeCell ref="H1:I1"/>
    <mergeCell ref="K1:L1"/>
    <mergeCell ref="N1:O1"/>
    <mergeCell ref="E10:F10"/>
    <mergeCell ref="E9:F9"/>
    <mergeCell ref="E72:F72"/>
    <mergeCell ref="E73:F73"/>
    <mergeCell ref="AR72:AS72"/>
    <mergeCell ref="AR73:AS73"/>
    <mergeCell ref="AP72:AQ130"/>
  </mergeCells>
  <conditionalFormatting sqref="G11:AK6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00B0F0"/>
        <color rgb="FFFFFF00"/>
        <color rgb="FFF25A30"/>
      </colorScale>
    </cfRule>
    <cfRule type="colorScale" priority="9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G74:AK12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AT103:BH112 AT118:BD118 BK97:BX100 BH99:BH102 AT97:BG102 AT74:BX84 AT85:BH96 BJ85:BX96 BJ99:BJ100 BI85:BI112 BJ101:BX112 AT119:BE119 AT120:BX128 BF118:BX119 AT113:BX11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97:BH98 BJ97:BJ9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74:DK12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DU74:EY12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AT138:BX19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CG138:DK19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DU138:EY19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G138:AK192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AT74:BX128">
    <cfRule type="colorScale" priority="5">
      <colorScale>
        <cfvo type="min"/>
        <cfvo type="percentile" val="50"/>
        <cfvo type="max"/>
        <color rgb="FF74BED2"/>
        <color rgb="FFFFEB84"/>
        <color rgb="FFE14541"/>
      </colorScale>
    </cfRule>
  </conditionalFormatting>
  <pageMargins left="0.7" right="0.7" top="0.75" bottom="0.75" header="0.3" footer="0.3"/>
  <pageSetup paperSize="9" fitToWidth="0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Сыряная Валерия Вячеславовна</dc:creator>
  <cp:lastModifiedBy>Я</cp:lastModifiedBy>
  <dcterms:created xsi:type="dcterms:W3CDTF">2021-02-19T10:02:37Z</dcterms:created>
  <dcterms:modified xsi:type="dcterms:W3CDTF">2021-04-29T20:21:02Z</dcterms:modified>
</cp:coreProperties>
</file>